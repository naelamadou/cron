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c002051\Documents\Projets_SGBS\SIOP-DPO\Evaluation Stagiaire SIMPLON\"/>
    </mc:Choice>
  </mc:AlternateContent>
  <bookViews>
    <workbookView xWindow="120" yWindow="45" windowWidth="18915" windowHeight="8490" tabRatio="908"/>
  </bookViews>
  <sheets>
    <sheet name="CDT" sheetId="4" r:id="rId1"/>
    <sheet name="listeVal" sheetId="1" r:id="rId2"/>
    <sheet name="Statistiques" sheetId="12" r:id="rId3"/>
  </sheets>
  <definedNames>
    <definedName name="_xlnm._FilterDatabase" localSheetId="0" hidden="1">CDT!$A$1:$N$66</definedName>
    <definedName name="_xlnm._FilterDatabase" localSheetId="1" hidden="1">listeVal!$A$1:$K$401</definedName>
    <definedName name="CommentaireAno">CDT!$N$2:$N$228</definedName>
    <definedName name="DescriptionCasDeTest">CDT!$D$2:$D$228</definedName>
    <definedName name="DescriptionReq">CDT!#REF!</definedName>
    <definedName name="ENV">listeVal!$K$2:$K$4</definedName>
    <definedName name="ETAPE">listeVal!$G$2:$G$31</definedName>
    <definedName name="ETAPES">listeVal!$G$2:$G$32</definedName>
    <definedName name="Gravité1">listeVal!$E$2:$E$4</definedName>
    <definedName name="GravitéAnomalie">CDT!$M$2:$M$228</definedName>
    <definedName name="JeuDeDonnée">CDT!$H$2:$H$228</definedName>
    <definedName name="LibGHDest">CDT!#REF!</definedName>
    <definedName name="ListeValE189">listeVal!#REF!</definedName>
    <definedName name="ListeValNOKE189">listeVal!#REF!</definedName>
    <definedName name="ListeValOKE189">listeVal!#REF!</definedName>
    <definedName name="newgh">listeVal!#REF!</definedName>
    <definedName name="NumAnomalie">CDT!$L$2:$L$228</definedName>
    <definedName name="NumCdt" localSheetId="0">CDT!$A$2:$A$228</definedName>
    <definedName name="NumCdt">listeVal!$A$2:$A$401</definedName>
    <definedName name="NumCreance">CDT!#REF!</definedName>
    <definedName name="NumReq">#REF!</definedName>
    <definedName name="NumSFG" localSheetId="0">CDT!#REF!</definedName>
    <definedName name="NumSfg">listeVal!#REF!</definedName>
    <definedName name="NumSfg1">listeVal!#REF!</definedName>
    <definedName name="NumSfg2">listeVal!#REF!</definedName>
    <definedName name="periode">listeVal!$D$2:$D$5</definedName>
    <definedName name="Période">CDT!$I$2:$I$228</definedName>
    <definedName name="Prérequis__Etape">CDT!$B$2:$B$228</definedName>
    <definedName name="ProfilUtilisateur">listeVal!$C$2:$C$5</definedName>
    <definedName name="RésultatAttendu">CDT!$F$2:$F$228</definedName>
    <definedName name="RésultatObtenu">CDT!$G$2:$G$228</definedName>
    <definedName name="Statut" localSheetId="0">CDT!$J$2:$J$240</definedName>
    <definedName name="Statut1">listeVal!$B$2:$B$6</definedName>
    <definedName name="StatutAno" localSheetId="0">CDT!$K$2:$K$228</definedName>
    <definedName name="statutano1">listeVal!$F$2:$F$6</definedName>
    <definedName name="StatutCdt">CDT!$J$2:$J$228</definedName>
    <definedName name="Val">CDT!#REF!</definedName>
  </definedNames>
  <calcPr calcId="152511"/>
  <pivotCaches>
    <pivotCache cacheId="2" r:id="rId4"/>
    <pivotCache cacheId="3" r:id="rId5"/>
  </pivotCaches>
</workbook>
</file>

<file path=xl/calcChain.xml><?xml version="1.0" encoding="utf-8"?>
<calcChain xmlns="http://schemas.openxmlformats.org/spreadsheetml/2006/main">
  <c r="D4" i="4" l="1"/>
  <c r="F30" i="4"/>
  <c r="F26" i="4"/>
  <c r="F29" i="4"/>
  <c r="F28" i="4"/>
  <c r="F25" i="4"/>
  <c r="D25" i="4"/>
  <c r="D24" i="4"/>
  <c r="F24" i="4"/>
  <c r="F23" i="4"/>
  <c r="D23" i="4"/>
  <c r="F22" i="4"/>
  <c r="F21" i="4"/>
  <c r="D21" i="4"/>
  <c r="F18" i="4"/>
  <c r="F17" i="4"/>
  <c r="F11" i="4"/>
  <c r="F16" i="4"/>
  <c r="D15" i="4"/>
  <c r="D12" i="4"/>
  <c r="F14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4" i="4"/>
  <c r="A5" i="4"/>
  <c r="A6" i="4"/>
  <c r="A7" i="4"/>
  <c r="A8" i="4"/>
  <c r="D6" i="4"/>
  <c r="D5" i="4"/>
  <c r="A3" i="4" l="1"/>
  <c r="A2" i="4" l="1"/>
</calcChain>
</file>

<file path=xl/sharedStrings.xml><?xml version="1.0" encoding="utf-8"?>
<sst xmlns="http://schemas.openxmlformats.org/spreadsheetml/2006/main" count="766" uniqueCount="539">
  <si>
    <t>NumCdt</t>
  </si>
  <si>
    <t>CDT001</t>
  </si>
  <si>
    <t>CDT002</t>
  </si>
  <si>
    <t>CDT003</t>
  </si>
  <si>
    <t>CDT004</t>
  </si>
  <si>
    <t>CDT005</t>
  </si>
  <si>
    <t>CDT006</t>
  </si>
  <si>
    <t>CDT007</t>
  </si>
  <si>
    <t>CDT008</t>
  </si>
  <si>
    <t>CDT009</t>
  </si>
  <si>
    <t>CDT010</t>
  </si>
  <si>
    <t>CDT011</t>
  </si>
  <si>
    <t>CDT012</t>
  </si>
  <si>
    <t>CDT013</t>
  </si>
  <si>
    <t>CDT014</t>
  </si>
  <si>
    <t>CDT015</t>
  </si>
  <si>
    <t>CDT016</t>
  </si>
  <si>
    <t>CDT017</t>
  </si>
  <si>
    <t>CDT018</t>
  </si>
  <si>
    <t>CDT019</t>
  </si>
  <si>
    <t>CDT020</t>
  </si>
  <si>
    <t>CDT021</t>
  </si>
  <si>
    <t>CDT022</t>
  </si>
  <si>
    <t>CDT023</t>
  </si>
  <si>
    <t>CDT024</t>
  </si>
  <si>
    <t>CDT025</t>
  </si>
  <si>
    <t>CDT026</t>
  </si>
  <si>
    <t>CDT027</t>
  </si>
  <si>
    <t>CDT028</t>
  </si>
  <si>
    <t>CDT029</t>
  </si>
  <si>
    <t>CDT030</t>
  </si>
  <si>
    <t>CDT031</t>
  </si>
  <si>
    <t>CDT032</t>
  </si>
  <si>
    <t>CDT033</t>
  </si>
  <si>
    <t>CDT034</t>
  </si>
  <si>
    <t>CDT035</t>
  </si>
  <si>
    <t>CDT036</t>
  </si>
  <si>
    <t>CDT037</t>
  </si>
  <si>
    <t>CDT038</t>
  </si>
  <si>
    <t>CDT039</t>
  </si>
  <si>
    <t>CDT040</t>
  </si>
  <si>
    <t>CDT041</t>
  </si>
  <si>
    <t>CDT042</t>
  </si>
  <si>
    <t>CDT043</t>
  </si>
  <si>
    <t>CDT044</t>
  </si>
  <si>
    <t>CDT045</t>
  </si>
  <si>
    <t>CDT046</t>
  </si>
  <si>
    <t>CDT047</t>
  </si>
  <si>
    <t>CDT048</t>
  </si>
  <si>
    <t>CDT049</t>
  </si>
  <si>
    <t>CDT050</t>
  </si>
  <si>
    <t>CDT051</t>
  </si>
  <si>
    <t>CDT052</t>
  </si>
  <si>
    <t>CDT053</t>
  </si>
  <si>
    <t>CDT054</t>
  </si>
  <si>
    <t>CDT055</t>
  </si>
  <si>
    <t>CDT056</t>
  </si>
  <si>
    <t>CDT057</t>
  </si>
  <si>
    <t>CDT058</t>
  </si>
  <si>
    <t>CDT059</t>
  </si>
  <si>
    <t>CDT060</t>
  </si>
  <si>
    <t>CDT061</t>
  </si>
  <si>
    <t>CDT062</t>
  </si>
  <si>
    <t>CDT063</t>
  </si>
  <si>
    <t>CDT064</t>
  </si>
  <si>
    <t>CDT065</t>
  </si>
  <si>
    <t>CDT066</t>
  </si>
  <si>
    <t>CDT067</t>
  </si>
  <si>
    <t>CDT068</t>
  </si>
  <si>
    <t>CDT069</t>
  </si>
  <si>
    <t>CDT070</t>
  </si>
  <si>
    <t>CDT071</t>
  </si>
  <si>
    <t>CDT072</t>
  </si>
  <si>
    <t>CDT073</t>
  </si>
  <si>
    <t>CDT074</t>
  </si>
  <si>
    <t>CDT075</t>
  </si>
  <si>
    <t>CDT076</t>
  </si>
  <si>
    <t>CDT077</t>
  </si>
  <si>
    <t>CDT078</t>
  </si>
  <si>
    <t>CDT079</t>
  </si>
  <si>
    <t>CDT080</t>
  </si>
  <si>
    <t>CDT081</t>
  </si>
  <si>
    <t>CDT082</t>
  </si>
  <si>
    <t>CDT083</t>
  </si>
  <si>
    <t>CDT084</t>
  </si>
  <si>
    <t>CDT085</t>
  </si>
  <si>
    <t>CDT086</t>
  </si>
  <si>
    <t>CDT087</t>
  </si>
  <si>
    <t>CDT088</t>
  </si>
  <si>
    <t>CDT089</t>
  </si>
  <si>
    <t>CDT090</t>
  </si>
  <si>
    <t>CDT091</t>
  </si>
  <si>
    <t>CDT092</t>
  </si>
  <si>
    <t>CDT093</t>
  </si>
  <si>
    <t>CDT094</t>
  </si>
  <si>
    <t>CDT095</t>
  </si>
  <si>
    <t>CDT096</t>
  </si>
  <si>
    <t>CDT097</t>
  </si>
  <si>
    <t>CDT098</t>
  </si>
  <si>
    <t>CDT099</t>
  </si>
  <si>
    <t>CDT100</t>
  </si>
  <si>
    <t>CDT101</t>
  </si>
  <si>
    <t>CDT102</t>
  </si>
  <si>
    <t>CDT103</t>
  </si>
  <si>
    <t>CDT104</t>
  </si>
  <si>
    <t>CDT105</t>
  </si>
  <si>
    <t>CDT106</t>
  </si>
  <si>
    <t>CDT107</t>
  </si>
  <si>
    <t>CDT108</t>
  </si>
  <si>
    <t>CDT109</t>
  </si>
  <si>
    <t>CDT110</t>
  </si>
  <si>
    <t>CDT111</t>
  </si>
  <si>
    <t>CDT112</t>
  </si>
  <si>
    <t>CDT113</t>
  </si>
  <si>
    <t>CDT114</t>
  </si>
  <si>
    <t>CDT115</t>
  </si>
  <si>
    <t>CDT116</t>
  </si>
  <si>
    <t>CDT117</t>
  </si>
  <si>
    <t>CDT118</t>
  </si>
  <si>
    <t>CDT119</t>
  </si>
  <si>
    <t>CDT120</t>
  </si>
  <si>
    <t>CDT121</t>
  </si>
  <si>
    <t>CDT122</t>
  </si>
  <si>
    <t>CDT123</t>
  </si>
  <si>
    <t>CDT124</t>
  </si>
  <si>
    <t>CDT125</t>
  </si>
  <si>
    <t>CDT126</t>
  </si>
  <si>
    <t>CDT127</t>
  </si>
  <si>
    <t>CDT128</t>
  </si>
  <si>
    <t>CDT129</t>
  </si>
  <si>
    <t>CDT130</t>
  </si>
  <si>
    <t>CDT131</t>
  </si>
  <si>
    <t>CDT132</t>
  </si>
  <si>
    <t>CDT133</t>
  </si>
  <si>
    <t>CDT134</t>
  </si>
  <si>
    <t>CDT135</t>
  </si>
  <si>
    <t>CDT136</t>
  </si>
  <si>
    <t>CDT137</t>
  </si>
  <si>
    <t>CDT138</t>
  </si>
  <si>
    <t>CDT139</t>
  </si>
  <si>
    <t>CDT140</t>
  </si>
  <si>
    <t>CDT141</t>
  </si>
  <si>
    <t>CDT142</t>
  </si>
  <si>
    <t>CDT143</t>
  </si>
  <si>
    <t>CDT144</t>
  </si>
  <si>
    <t>CDT145</t>
  </si>
  <si>
    <t>CDT146</t>
  </si>
  <si>
    <t>CDT147</t>
  </si>
  <si>
    <t>CDT148</t>
  </si>
  <si>
    <t>CDT149</t>
  </si>
  <si>
    <t>CDT150</t>
  </si>
  <si>
    <t>CDT151</t>
  </si>
  <si>
    <t>CDT152</t>
  </si>
  <si>
    <t>CDT153</t>
  </si>
  <si>
    <t>CDT154</t>
  </si>
  <si>
    <t>CDT155</t>
  </si>
  <si>
    <t>CDT156</t>
  </si>
  <si>
    <t>CDT157</t>
  </si>
  <si>
    <t>CDT158</t>
  </si>
  <si>
    <t>CDT159</t>
  </si>
  <si>
    <t>CDT160</t>
  </si>
  <si>
    <t>CDT161</t>
  </si>
  <si>
    <t>CDT162</t>
  </si>
  <si>
    <t>CDT163</t>
  </si>
  <si>
    <t>CDT164</t>
  </si>
  <si>
    <t>CDT165</t>
  </si>
  <si>
    <t>CDT166</t>
  </si>
  <si>
    <t>CDT167</t>
  </si>
  <si>
    <t>CDT168</t>
  </si>
  <si>
    <t>CDT169</t>
  </si>
  <si>
    <t>CDT170</t>
  </si>
  <si>
    <t>CDT171</t>
  </si>
  <si>
    <t>CDT172</t>
  </si>
  <si>
    <t>CDT173</t>
  </si>
  <si>
    <t>CDT174</t>
  </si>
  <si>
    <t>CDT175</t>
  </si>
  <si>
    <t>CDT176</t>
  </si>
  <si>
    <t>CDT177</t>
  </si>
  <si>
    <t>CDT178</t>
  </si>
  <si>
    <t>CDT179</t>
  </si>
  <si>
    <t>CDT180</t>
  </si>
  <si>
    <t>CDT181</t>
  </si>
  <si>
    <t>CDT182</t>
  </si>
  <si>
    <t>CDT183</t>
  </si>
  <si>
    <t>CDT184</t>
  </si>
  <si>
    <t>CDT185</t>
  </si>
  <si>
    <t>CDT186</t>
  </si>
  <si>
    <t>CDT187</t>
  </si>
  <si>
    <t>CDT188</t>
  </si>
  <si>
    <t>CDT189</t>
  </si>
  <si>
    <t>CDT190</t>
  </si>
  <si>
    <t>CDT191</t>
  </si>
  <si>
    <t>CDT192</t>
  </si>
  <si>
    <t>CDT193</t>
  </si>
  <si>
    <t>CDT194</t>
  </si>
  <si>
    <t>CDT195</t>
  </si>
  <si>
    <t>CDT196</t>
  </si>
  <si>
    <t>CDT197</t>
  </si>
  <si>
    <t>CDT198</t>
  </si>
  <si>
    <t>CDT199</t>
  </si>
  <si>
    <t>CDT200</t>
  </si>
  <si>
    <t>CDT201</t>
  </si>
  <si>
    <t>CDT202</t>
  </si>
  <si>
    <t>CDT203</t>
  </si>
  <si>
    <t>CDT204</t>
  </si>
  <si>
    <t>CDT205</t>
  </si>
  <si>
    <t>CDT206</t>
  </si>
  <si>
    <t>CDT207</t>
  </si>
  <si>
    <t>CDT208</t>
  </si>
  <si>
    <t>CDT209</t>
  </si>
  <si>
    <t>CDT210</t>
  </si>
  <si>
    <t>CDT211</t>
  </si>
  <si>
    <t>CDT212</t>
  </si>
  <si>
    <t>CDT213</t>
  </si>
  <si>
    <t>CDT214</t>
  </si>
  <si>
    <t>CDT215</t>
  </si>
  <si>
    <t>CDT216</t>
  </si>
  <si>
    <t>CDT217</t>
  </si>
  <si>
    <t>CDT218</t>
  </si>
  <si>
    <t>CDT219</t>
  </si>
  <si>
    <t>CDT220</t>
  </si>
  <si>
    <t>CDT221</t>
  </si>
  <si>
    <t>CDT222</t>
  </si>
  <si>
    <t>CDT223</t>
  </si>
  <si>
    <t>CDT224</t>
  </si>
  <si>
    <t>CDT225</t>
  </si>
  <si>
    <t>CDT226</t>
  </si>
  <si>
    <t>CDT227</t>
  </si>
  <si>
    <t>CDT228</t>
  </si>
  <si>
    <t>CDT229</t>
  </si>
  <si>
    <t>CDT230</t>
  </si>
  <si>
    <t>CDT231</t>
  </si>
  <si>
    <t>CDT232</t>
  </si>
  <si>
    <t>CDT233</t>
  </si>
  <si>
    <t>CDT234</t>
  </si>
  <si>
    <t>CDT235</t>
  </si>
  <si>
    <t>CDT236</t>
  </si>
  <si>
    <t>CDT237</t>
  </si>
  <si>
    <t>CDT238</t>
  </si>
  <si>
    <t>CDT239</t>
  </si>
  <si>
    <t>CDT240</t>
  </si>
  <si>
    <t>CDT241</t>
  </si>
  <si>
    <t>CDT242</t>
  </si>
  <si>
    <t>CDT243</t>
  </si>
  <si>
    <t>CDT244</t>
  </si>
  <si>
    <t>CDT245</t>
  </si>
  <si>
    <t>CDT246</t>
  </si>
  <si>
    <t>CDT247</t>
  </si>
  <si>
    <t>CDT248</t>
  </si>
  <si>
    <t>CDT249</t>
  </si>
  <si>
    <t>CDT250</t>
  </si>
  <si>
    <t>CDT251</t>
  </si>
  <si>
    <t>CDT252</t>
  </si>
  <si>
    <t>CDT253</t>
  </si>
  <si>
    <t>CDT254</t>
  </si>
  <si>
    <t>CDT255</t>
  </si>
  <si>
    <t>CDT256</t>
  </si>
  <si>
    <t>CDT257</t>
  </si>
  <si>
    <t>CDT258</t>
  </si>
  <si>
    <t>CDT259</t>
  </si>
  <si>
    <t>CDT260</t>
  </si>
  <si>
    <t>CDT261</t>
  </si>
  <si>
    <t>CDT262</t>
  </si>
  <si>
    <t>CDT263</t>
  </si>
  <si>
    <t>CDT264</t>
  </si>
  <si>
    <t>CDT265</t>
  </si>
  <si>
    <t>CDT266</t>
  </si>
  <si>
    <t>CDT267</t>
  </si>
  <si>
    <t>CDT268</t>
  </si>
  <si>
    <t>CDT269</t>
  </si>
  <si>
    <t>CDT270</t>
  </si>
  <si>
    <t>CDT271</t>
  </si>
  <si>
    <t>CDT272</t>
  </si>
  <si>
    <t>CDT273</t>
  </si>
  <si>
    <t>CDT274</t>
  </si>
  <si>
    <t>CDT275</t>
  </si>
  <si>
    <t>CDT276</t>
  </si>
  <si>
    <t>CDT277</t>
  </si>
  <si>
    <t>CDT278</t>
  </si>
  <si>
    <t>CDT279</t>
  </si>
  <si>
    <t>CDT280</t>
  </si>
  <si>
    <t>CDT281</t>
  </si>
  <si>
    <t>CDT282</t>
  </si>
  <si>
    <t>CDT283</t>
  </si>
  <si>
    <t>CDT284</t>
  </si>
  <si>
    <t>CDT285</t>
  </si>
  <si>
    <t>CDT286</t>
  </si>
  <si>
    <t>CDT287</t>
  </si>
  <si>
    <t>CDT288</t>
  </si>
  <si>
    <t>CDT289</t>
  </si>
  <si>
    <t>CDT290</t>
  </si>
  <si>
    <t>CDT291</t>
  </si>
  <si>
    <t>CDT292</t>
  </si>
  <si>
    <t>CDT293</t>
  </si>
  <si>
    <t>CDT294</t>
  </si>
  <si>
    <t>CDT295</t>
  </si>
  <si>
    <t>CDT296</t>
  </si>
  <si>
    <t>CDT297</t>
  </si>
  <si>
    <t>CDT298</t>
  </si>
  <si>
    <t>CDT299</t>
  </si>
  <si>
    <t>CDT300</t>
  </si>
  <si>
    <t>CDT301</t>
  </si>
  <si>
    <t>CDT302</t>
  </si>
  <si>
    <t>CDT303</t>
  </si>
  <si>
    <t>CDT304</t>
  </si>
  <si>
    <t>CDT305</t>
  </si>
  <si>
    <t>CDT306</t>
  </si>
  <si>
    <t>CDT307</t>
  </si>
  <si>
    <t>CDT308</t>
  </si>
  <si>
    <t>CDT309</t>
  </si>
  <si>
    <t>CDT310</t>
  </si>
  <si>
    <t>CDT311</t>
  </si>
  <si>
    <t>CDT312</t>
  </si>
  <si>
    <t>CDT313</t>
  </si>
  <si>
    <t>CDT314</t>
  </si>
  <si>
    <t>CDT315</t>
  </si>
  <si>
    <t>CDT316</t>
  </si>
  <si>
    <t>CDT317</t>
  </si>
  <si>
    <t>CDT318</t>
  </si>
  <si>
    <t>CDT319</t>
  </si>
  <si>
    <t>CDT320</t>
  </si>
  <si>
    <t>CDT321</t>
  </si>
  <si>
    <t>CDT322</t>
  </si>
  <si>
    <t>CDT323</t>
  </si>
  <si>
    <t>CDT324</t>
  </si>
  <si>
    <t>CDT325</t>
  </si>
  <si>
    <t>CDT326</t>
  </si>
  <si>
    <t>CDT327</t>
  </si>
  <si>
    <t>CDT328</t>
  </si>
  <si>
    <t>CDT329</t>
  </si>
  <si>
    <t>CDT330</t>
  </si>
  <si>
    <t>CDT331</t>
  </si>
  <si>
    <t>CDT332</t>
  </si>
  <si>
    <t>CDT333</t>
  </si>
  <si>
    <t>CDT334</t>
  </si>
  <si>
    <t>CDT335</t>
  </si>
  <si>
    <t>CDT336</t>
  </si>
  <si>
    <t>CDT337</t>
  </si>
  <si>
    <t>CDT338</t>
  </si>
  <si>
    <t>CDT339</t>
  </si>
  <si>
    <t>CDT340</t>
  </si>
  <si>
    <t>CDT341</t>
  </si>
  <si>
    <t>CDT342</t>
  </si>
  <si>
    <t>CDT343</t>
  </si>
  <si>
    <t>CDT344</t>
  </si>
  <si>
    <t>CDT345</t>
  </si>
  <si>
    <t>CDT346</t>
  </si>
  <si>
    <t>CDT347</t>
  </si>
  <si>
    <t>CDT348</t>
  </si>
  <si>
    <t>CDT349</t>
  </si>
  <si>
    <t>CDT350</t>
  </si>
  <si>
    <t>CDT351</t>
  </si>
  <si>
    <t>CDT352</t>
  </si>
  <si>
    <t>CDT353</t>
  </si>
  <si>
    <t>CDT354</t>
  </si>
  <si>
    <t>CDT355</t>
  </si>
  <si>
    <t>CDT356</t>
  </si>
  <si>
    <t>CDT357</t>
  </si>
  <si>
    <t>CDT358</t>
  </si>
  <si>
    <t>CDT359</t>
  </si>
  <si>
    <t>CDT360</t>
  </si>
  <si>
    <t>CDT361</t>
  </si>
  <si>
    <t>CDT362</t>
  </si>
  <si>
    <t>CDT363</t>
  </si>
  <si>
    <t>CDT364</t>
  </si>
  <si>
    <t>CDT365</t>
  </si>
  <si>
    <t>CDT366</t>
  </si>
  <si>
    <t>CDT367</t>
  </si>
  <si>
    <t>CDT368</t>
  </si>
  <si>
    <t>CDT369</t>
  </si>
  <si>
    <t>CDT370</t>
  </si>
  <si>
    <t>CDT371</t>
  </si>
  <si>
    <t>CDT372</t>
  </si>
  <si>
    <t>CDT373</t>
  </si>
  <si>
    <t>CDT374</t>
  </si>
  <si>
    <t>CDT375</t>
  </si>
  <si>
    <t>CDT376</t>
  </si>
  <si>
    <t>CDT377</t>
  </si>
  <si>
    <t>CDT378</t>
  </si>
  <si>
    <t>CDT379</t>
  </si>
  <si>
    <t>CDT380</t>
  </si>
  <si>
    <t>CDT381</t>
  </si>
  <si>
    <t>CDT382</t>
  </si>
  <si>
    <t>CDT383</t>
  </si>
  <si>
    <t>CDT384</t>
  </si>
  <si>
    <t>CDT385</t>
  </si>
  <si>
    <t>CDT386</t>
  </si>
  <si>
    <t>CDT387</t>
  </si>
  <si>
    <t>CDT388</t>
  </si>
  <si>
    <t>CDT389</t>
  </si>
  <si>
    <t>CDT390</t>
  </si>
  <si>
    <t>CDT391</t>
  </si>
  <si>
    <t>CDT392</t>
  </si>
  <si>
    <t>CDT393</t>
  </si>
  <si>
    <t>CDT394</t>
  </si>
  <si>
    <t>CDT395</t>
  </si>
  <si>
    <t>CDT396</t>
  </si>
  <si>
    <t>CDT397</t>
  </si>
  <si>
    <t>CDT398</t>
  </si>
  <si>
    <t>CDT399</t>
  </si>
  <si>
    <t>CDT400</t>
  </si>
  <si>
    <t>RésultatAttendu</t>
  </si>
  <si>
    <t>JeuDeDonnée</t>
  </si>
  <si>
    <t>Statut</t>
  </si>
  <si>
    <t>NumAnomalie</t>
  </si>
  <si>
    <t>DescriptionCasDeTest</t>
  </si>
  <si>
    <t>RésultatObtenu</t>
  </si>
  <si>
    <t>No Run</t>
  </si>
  <si>
    <t>Passed</t>
  </si>
  <si>
    <t>Not completed</t>
  </si>
  <si>
    <t>Failed</t>
  </si>
  <si>
    <t>ProfilUtilisateur</t>
  </si>
  <si>
    <t>administrateur</t>
  </si>
  <si>
    <t>consultation</t>
  </si>
  <si>
    <t>utilisateur</t>
  </si>
  <si>
    <t>valideur</t>
  </si>
  <si>
    <t>Période</t>
  </si>
  <si>
    <t>Periode</t>
  </si>
  <si>
    <t>Trimestriel</t>
  </si>
  <si>
    <t>Mois 1</t>
  </si>
  <si>
    <t>Mois 2</t>
  </si>
  <si>
    <t>Mois 3</t>
  </si>
  <si>
    <t>CommentaireAno</t>
  </si>
  <si>
    <t>Total général</t>
  </si>
  <si>
    <t>Nombre de NumCdt</t>
  </si>
  <si>
    <t>%</t>
  </si>
  <si>
    <t>Blocked</t>
  </si>
  <si>
    <t xml:space="preserve">Avancement : </t>
  </si>
  <si>
    <t>Statut Req</t>
  </si>
  <si>
    <t>GravitéAnomalie</t>
  </si>
  <si>
    <t>Gravité</t>
  </si>
  <si>
    <t>Mineur</t>
  </si>
  <si>
    <t>Majeur</t>
  </si>
  <si>
    <t>Bloquant</t>
  </si>
  <si>
    <t>StatutAno</t>
  </si>
  <si>
    <t>StatutCdt</t>
  </si>
  <si>
    <t>Crée</t>
  </si>
  <si>
    <t>Transmise</t>
  </si>
  <si>
    <t>Fermée</t>
  </si>
  <si>
    <t>Livrée</t>
  </si>
  <si>
    <t>Ajournée</t>
  </si>
  <si>
    <t>Statut Cas de test</t>
  </si>
  <si>
    <t>N° règles de gestion</t>
  </si>
  <si>
    <t>RG199-01</t>
  </si>
  <si>
    <t>RG199-02</t>
  </si>
  <si>
    <t>RG199-03</t>
  </si>
  <si>
    <t>RG199-04</t>
  </si>
  <si>
    <t>RG199-05</t>
  </si>
  <si>
    <t>RG199-06</t>
  </si>
  <si>
    <t>RG199-07</t>
  </si>
  <si>
    <t>Chargement des données</t>
  </si>
  <si>
    <t>Consultation / Editer liste par client</t>
  </si>
  <si>
    <t>Mensuel</t>
  </si>
  <si>
    <t>Total</t>
  </si>
  <si>
    <t>Etapes</t>
  </si>
  <si>
    <t>Ecran</t>
  </si>
  <si>
    <t>Onglet</t>
  </si>
  <si>
    <t>TypeTraitement</t>
  </si>
  <si>
    <t>Sélection d'un arrêté</t>
  </si>
  <si>
    <t>Mise à jour du stock de créances</t>
  </si>
  <si>
    <t>Détermination du mode de traitement des créances</t>
  </si>
  <si>
    <t>Création et modification de créances / Rechercher</t>
  </si>
  <si>
    <t>Création et modification de créances / Créer</t>
  </si>
  <si>
    <t>Attribution d'échéanciers</t>
  </si>
  <si>
    <t>Calculs</t>
  </si>
  <si>
    <t xml:space="preserve">Validation </t>
  </si>
  <si>
    <t>Génération du reporting</t>
  </si>
  <si>
    <t>Clôture du mois</t>
  </si>
  <si>
    <t>Identification des écarts</t>
  </si>
  <si>
    <t>Validation des échéanciers</t>
  </si>
  <si>
    <t xml:space="preserve">Ouverture du mois </t>
  </si>
  <si>
    <t>Ouverture du trimestre</t>
  </si>
  <si>
    <t>Calculs (suite aux notifications)</t>
  </si>
  <si>
    <t>Clôture du traitement trimestriel</t>
  </si>
  <si>
    <t>Consultation / Rechercher</t>
  </si>
  <si>
    <t>Consultation / Echéanciers lignes individuelles</t>
  </si>
  <si>
    <t>Consultation / Editer changement manuel sur créances individuelles</t>
  </si>
  <si>
    <t>Consultation / Editer changement manuel sur groupes homogènes</t>
  </si>
  <si>
    <t>Simulations / Groupes homogènes</t>
  </si>
  <si>
    <t>Traitement annuel de purge</t>
  </si>
  <si>
    <t>Traitement trimestriel de purge</t>
  </si>
  <si>
    <t>Etape</t>
  </si>
  <si>
    <t>Connexion à l'application</t>
  </si>
  <si>
    <t>Environnement</t>
  </si>
  <si>
    <t>Production et cible</t>
  </si>
  <si>
    <t>Production</t>
  </si>
  <si>
    <t>Cible</t>
  </si>
  <si>
    <t>Connexion OK sur les deux environnements avec le mot de passe habituel</t>
  </si>
  <si>
    <t>Prérequis / Type de test</t>
  </si>
  <si>
    <t>Non regression</t>
  </si>
  <si>
    <t>L'Etape "Chargement des données" est dégrisée. Dans le menu "Sélection d'un arrêté" le statut de l'arrêté passe à "En cours"</t>
  </si>
  <si>
    <t>Les contrôles de préchargement sont effectués, les messages ; "Vérification de l'intégrité du fichier. Veuillez patienter …." Et "Le fichier est exploitable. Vous pouvez passer à l'importation des données." apparaissent.</t>
  </si>
  <si>
    <t>Cliquer sur le bouton "Importer"</t>
  </si>
  <si>
    <t>L'importation est réalisée avec succés. Le bouton "imprimer" est dégrisé</t>
  </si>
  <si>
    <t>La liste des anomalie doit être identique sur les deux environnement. L'anomalie corrigée disparait de la liste.</t>
  </si>
  <si>
    <t>Selectionner l'onglet "Anomalie", puis corriger la même anomalie sur les deux environnements.</t>
  </si>
  <si>
    <t>Revenir sur l'onglet étapes et sauvegarder les deux fichiers pour chaque environnements. Comparer les fichiers.</t>
  </si>
  <si>
    <t>Les mentions "Cible" et "Référence"  s'affichent en haut et à gauche de l'écran de l'application et permettent d'identifier facilement chacune des deux instances.</t>
  </si>
  <si>
    <t>Selectionner l'onglet "Synthèse"</t>
  </si>
  <si>
    <t>Les informations à l'écran doivent être identiques sur les deux environnements</t>
  </si>
  <si>
    <t>Cliquer sur le bouton valider</t>
  </si>
  <si>
    <t>A la fin du chargement une pop up apparait indiquant "Exportation réalisée avec succés" et le bouton valider est degrisé. La comparaison des fichiers montre que les données sont identiques.</t>
  </si>
  <si>
    <t>Vérifier que les informations des onglet "Synthèse" et "Rapprochement" sont identiques sur les deux environnements.</t>
  </si>
  <si>
    <t>Cliquer sur le bouton imprimer</t>
  </si>
  <si>
    <t>Même résultat sur les deux environnements.</t>
  </si>
  <si>
    <t>Cliquer sur le bouton Valider</t>
  </si>
  <si>
    <t>Le bouton imprimer ce dégrise.
Les informations des onglets "Synthèse" et "Erreur" sont identiques sur les deux environnements.</t>
  </si>
  <si>
    <t>Cliquer sur imprimer, puis Terminer l'étape. Comparer les fichiers produits</t>
  </si>
  <si>
    <t>Attribuer le même échéancier à chaque créance présente dans l'étape pour chaque environnement, puis valider l'étape.</t>
  </si>
  <si>
    <t>Lancer les calculs puis naviguer jusqu'à l'onglet résultat et enregistrer le fichier en cliquant sur le bouton "Sortie excel"</t>
  </si>
  <si>
    <t>Vérifier que les fichiers produits sur chacune des instances contiennent les mêmes données.</t>
  </si>
  <si>
    <t>Cliquer sur le bouton "Valider"</t>
  </si>
  <si>
    <t>Le reporting Bale2 et Sortie complète sont accéssibles dans l'étape "Génération du reporting"</t>
  </si>
  <si>
    <t>Editer le fichier Bale2 et la sortie complète</t>
  </si>
  <si>
    <t>Selectionner le traitement trimestriel puis naviguer jusqu'au nœud "traitement trimestriel" dans la barre de navigation</t>
  </si>
  <si>
    <t>Générer le fichier à destination de Provweb en cliquant sur le bouton Générer</t>
  </si>
  <si>
    <t>Importation d'identifiants de Provweb</t>
  </si>
  <si>
    <t>Importer le fichier "Provweb Import" qui avait été généré en production lors de la saisie du trimestre</t>
  </si>
  <si>
    <t xml:space="preserve">Comparer les deux fichiers qui doivent contenir les même données. </t>
  </si>
  <si>
    <t>Exportation de créances vers Provweb</t>
  </si>
  <si>
    <t>Importation des modifications de Provweb</t>
  </si>
  <si>
    <t>Charger le fichier 47_10_F1_OK.xml (Pas de balise id-referentiel, ancienne structure, données DAI et OK ctrl) et dérouler l'étape de chargement des données sans la valider, éditer la liste de toutes les anomalies</t>
  </si>
  <si>
    <t>Etape pré-contrôle : Le fichier est exploitable. Vous pouvez procéder à l'importation des données.
Etape import : 'Contrepartie 108 sur 108.
Importation réalisée avec succès.
Toutes les créances ont pu être importées.
Elaboration de la liste des anomalies. Veuillez patienter...
Importation terminée.
Onglet Anomalie : aucune anomalie bloquante, l'édition de la liste des anomalie est conforme et identique à 47_10_F1_OK_TouteAnoChargement.csv</t>
  </si>
  <si>
    <t>Charger le fichier 47_10_F2_OK.xml (Balise id-referentiel présente et valorisée a DAI, données DAI et OK ctrl) et dérouler l'étape de chargement des données sans la valider, éditer la liste de toutes les anomalies</t>
  </si>
  <si>
    <t>Charger le fichier 47_10_F3_OK.xml (Balise id-referentiel présente et valorisée a RCT, données RCT et OK ctrl) et dérouler l'étape de chargement des données sans la valider, éditer la liste de toutes les anomalies</t>
  </si>
  <si>
    <t>Charger le fichier 47_10_F4_KO.xml (Pas de balise id-referentiel, ancienne structure, données DAI et KO ctrl (1 client en RCT OK) et dérouler l'étape de chargement des données sans la valider, éditer la liste de toutes les anomalies</t>
  </si>
  <si>
    <t>Etape pré-contrôle : Le fichier est exploitable. Vous pouvez procéder à l'importation des données.
Etape import : 'Contrepartie 108 sur 108.
Importation réalisée avec succès.
Toutes les créances ont pu être importées.
Elaboration de la liste des anomalies. Veuillez patienter...
Importation terminée.
Onglet Anomalie : Deux anomalies bloquantes : "Référentiel client non conforme" sont levées pour les créances du client N°E199000001</t>
  </si>
  <si>
    <t>Charger le fichier 47_10_F5_KO.xml (Balise id-referentiel présente et valorisée a DAI, données DAI et KO ctrl (1 client en RCT OK) et dérouler l'étape de chargement des données sans la valider, éditer la liste de toutes les anomalies</t>
  </si>
  <si>
    <t>Etape pré-contrôle : Le fichier est exploitable. Vous pouvez procéder à l'importation des données.
Etape import : 'Contrepartie 108 sur 108.
Importation réalisée avec succès.
Toutes les créances ont pu être importées.
Elaboration de la liste des anomalies. Veuillez patienter...
Importation terminée.
Onglet Anomalie : Deux anomalies bloquantes : "Référentiel client non conforme" sont levées pour les créances du client N°E199000050</t>
  </si>
  <si>
    <t>Evolution E199 : Remplacement DAI par RCT</t>
  </si>
  <si>
    <t>47_10_F1_OK.xml</t>
  </si>
  <si>
    <t>47_10_F2_OK.xml</t>
  </si>
  <si>
    <t xml:space="preserve"> 47_10_F3_OK.xml</t>
  </si>
  <si>
    <t>47_10_F4_KO.xml</t>
  </si>
  <si>
    <t>47_10_F5_KO.xml</t>
  </si>
  <si>
    <t>Créer deux repertoires principaux pour l'enregistrement des documents de la version de référence (Production) et ceux de la version cible.</t>
  </si>
  <si>
    <t>Deux BDD identiques avec Provisions IAS version prod (référence) et cible. 
Il est fortement recommandé d'utiliser une sauvegarde avant ouverture du premier mois d'un trimestre</t>
  </si>
  <si>
    <t>Administration / Paramètres generaux / Paramètres fonctionnels</t>
  </si>
  <si>
    <t>Administration / Paramètres generaux / Paramètres techniques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</si>
</sst>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0" fontId="0" fillId="2" borderId="1" xfId="0" applyFill="1" applyBorder="1"/>
    <xf numFmtId="0" fontId="0" fillId="2" borderId="2" xfId="0" applyFill="1" applyBorder="1"/>
    <xf numFmtId="0" fontId="0" fillId="0" borderId="2" xfId="0" applyBorder="1"/>
    <xf numFmtId="0" fontId="0" fillId="0" borderId="1" xfId="0" applyFill="1" applyBorder="1" applyAlignment="1">
      <alignment wrapText="1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 wrapText="1"/>
    </xf>
    <xf numFmtId="0" fontId="0" fillId="0" borderId="0" xfId="0" applyFill="1"/>
    <xf numFmtId="0" fontId="1" fillId="2" borderId="1" xfId="0" applyFont="1" applyFill="1" applyBorder="1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9" fontId="0" fillId="0" borderId="0" xfId="0" applyNumberFormat="1"/>
    <xf numFmtId="0" fontId="1" fillId="3" borderId="4" xfId="0" applyFont="1" applyFill="1" applyBorder="1"/>
    <xf numFmtId="0" fontId="1" fillId="3" borderId="5" xfId="0" applyNumberFormat="1" applyFont="1" applyFill="1" applyBorder="1"/>
    <xf numFmtId="20" fontId="0" fillId="0" borderId="1" xfId="0" applyNumberFormat="1" applyBorder="1"/>
    <xf numFmtId="0" fontId="1" fillId="3" borderId="5" xfId="0" applyFont="1" applyFill="1" applyBorder="1" applyAlignment="1">
      <alignment horizontal="left"/>
    </xf>
    <xf numFmtId="9" fontId="3" fillId="3" borderId="5" xfId="0" applyNumberFormat="1" applyFont="1" applyFill="1" applyBorder="1" applyAlignment="1">
      <alignment horizontal="left"/>
    </xf>
    <xf numFmtId="0" fontId="1" fillId="3" borderId="0" xfId="0" applyFont="1" applyFill="1"/>
    <xf numFmtId="0" fontId="1" fillId="0" borderId="0" xfId="0" applyFont="1" applyFill="1"/>
    <xf numFmtId="0" fontId="0" fillId="0" borderId="3" xfId="0" applyFill="1" applyBorder="1"/>
    <xf numFmtId="0" fontId="4" fillId="0" borderId="1" xfId="0" applyFont="1" applyBorder="1" applyAlignment="1">
      <alignment wrapText="1"/>
    </xf>
    <xf numFmtId="0" fontId="0" fillId="0" borderId="0" xfId="0" applyBorder="1"/>
    <xf numFmtId="0" fontId="0" fillId="0" borderId="2" xfId="0" applyFill="1" applyBorder="1"/>
    <xf numFmtId="0" fontId="0" fillId="2" borderId="6" xfId="0" applyFill="1" applyBorder="1"/>
    <xf numFmtId="0" fontId="0" fillId="0" borderId="0" xfId="0" applyFill="1" applyBorder="1"/>
    <xf numFmtId="0" fontId="0" fillId="0" borderId="0" xfId="0" applyFill="1" applyBorder="1" applyAlignment="1">
      <alignment wrapText="1"/>
    </xf>
    <xf numFmtId="0" fontId="0" fillId="0" borderId="7" xfId="0" applyBorder="1"/>
    <xf numFmtId="0" fontId="0" fillId="0" borderId="0" xfId="0" applyBorder="1" applyAlignment="1">
      <alignment wrapText="1"/>
    </xf>
    <xf numFmtId="0" fontId="0" fillId="0" borderId="0" xfId="0" applyFill="1" applyBorder="1" applyAlignment="1">
      <alignment horizontal="center" vertical="center" wrapText="1"/>
    </xf>
    <xf numFmtId="0" fontId="2" fillId="0" borderId="0" xfId="0" applyFont="1" applyFill="1" applyBorder="1" applyAlignment="1">
      <alignment wrapText="1"/>
    </xf>
    <xf numFmtId="20" fontId="0" fillId="0" borderId="0" xfId="0" applyNumberForma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1" xfId="0" applyFont="1" applyBorder="1" applyAlignment="1">
      <alignment wrapText="1"/>
    </xf>
  </cellXfs>
  <cellStyles count="1">
    <cellStyle name="Normal" xfId="0" builtinId="0"/>
  </cellStyles>
  <dxfs count="17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solid">
          <bgColor theme="0" tint="-4.9989318521683403E-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 val="0"/>
        <i/>
      </font>
      <fill>
        <patternFill>
          <bgColor rgb="FFFFC000"/>
        </patternFill>
      </fill>
    </dxf>
    <dxf>
      <font>
        <b val="0"/>
        <i/>
        <color theme="0"/>
      </font>
      <fill>
        <patternFill>
          <fgColor auto="1"/>
          <bgColor theme="9" tint="-0.2499465926084170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[Cahier de test.xlsm]Statistiques!Tableau croisé dynamique1</c:name>
    <c:fmtId val="0"/>
  </c:pivotSource>
  <c:chart>
    <c:title>
      <c:tx>
        <c:rich>
          <a:bodyPr anchor="t" anchorCtr="0"/>
          <a:lstStyle/>
          <a:p>
            <a:pPr>
              <a:defRPr/>
            </a:pPr>
            <a:r>
              <a:rPr lang="fr-FR"/>
              <a:t>ProvIAS</a:t>
            </a:r>
            <a:r>
              <a:rPr lang="fr-FR" baseline="0"/>
              <a:t> 4.7.5</a:t>
            </a:r>
            <a:endParaRPr lang="fr-FR"/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rgbClr val="FF0000"/>
          </a:solidFill>
        </c:spPr>
      </c:pivotFmt>
      <c:pivotFmt>
        <c:idx val="2"/>
        <c:spPr>
          <a:solidFill>
            <a:schemeClr val="bg1">
              <a:lumMod val="95000"/>
            </a:schemeClr>
          </a:solidFill>
        </c:spPr>
      </c:pivotFmt>
      <c:pivotFmt>
        <c:idx val="3"/>
        <c:spPr>
          <a:solidFill>
            <a:srgbClr val="FFC000"/>
          </a:solidFill>
        </c:spPr>
      </c:pivotFmt>
      <c:pivotFmt>
        <c:idx val="4"/>
        <c:spPr>
          <a:solidFill>
            <a:srgbClr val="00B050"/>
          </a:solidFill>
        </c:spPr>
      </c:pivotFmt>
      <c:pivotFmt>
        <c:idx val="5"/>
        <c:spPr>
          <a:noFill/>
        </c:spPr>
      </c:pivotFmt>
      <c:pivotFmt>
        <c:idx val="6"/>
        <c:spPr>
          <a:solidFill>
            <a:srgbClr val="00B050"/>
          </a:solidFill>
        </c:spPr>
      </c:pivotFmt>
      <c:pivotFmt>
        <c:idx val="7"/>
        <c:spPr>
          <a:solidFill>
            <a:srgbClr val="FF0000"/>
          </a:solidFill>
        </c:spPr>
      </c:pivotFmt>
      <c:pivotFmt>
        <c:idx val="8"/>
        <c:spPr>
          <a:solidFill>
            <a:srgbClr val="FFC000"/>
          </a:solidFill>
        </c:spPr>
      </c:pivotFmt>
      <c:pivotFmt>
        <c:idx val="9"/>
        <c:spPr>
          <a:solidFill>
            <a:schemeClr val="bg1">
              <a:lumMod val="95000"/>
            </a:schemeClr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Statistiques!$C$2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</c:dPt>
          <c:cat>
            <c:strRef>
              <c:f>Statistiques!$B$3:$B$4</c:f>
              <c:strCache>
                <c:ptCount val="1"/>
                <c:pt idx="0">
                  <c:v>Passed</c:v>
                </c:pt>
              </c:strCache>
            </c:strRef>
          </c:cat>
          <c:val>
            <c:numRef>
              <c:f>Statistiques!$C$3:$C$4</c:f>
              <c:numCache>
                <c:formatCode>General</c:formatCode>
                <c:ptCount val="1"/>
                <c:pt idx="0">
                  <c:v>62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[Cahier de test.xlsm]Statistiques!Tableau croisé dynamique3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Anomalies par gravité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spPr>
          <a:solidFill>
            <a:srgbClr val="FF0000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95000"/>
            </a:schemeClr>
          </a:solidFill>
        </c:spPr>
      </c:pivotFmt>
      <c:pivotFmt>
        <c:idx val="4"/>
      </c:pivotFmt>
      <c:pivotFmt>
        <c:idx val="5"/>
      </c:pivotFmt>
      <c:pivotFmt>
        <c:idx val="6"/>
        <c:spPr>
          <a:solidFill>
            <a:srgbClr val="FFFF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Statistiques!$N$3:$N$4</c:f>
              <c:strCache>
                <c:ptCount val="1"/>
                <c:pt idx="0">
                  <c:v>Total</c:v>
                </c:pt>
              </c:strCache>
            </c:strRef>
          </c:tx>
          <c:dPt>
            <c:idx val="2"/>
            <c:bubble3D val="0"/>
            <c:spPr>
              <a:solidFill>
                <a:srgbClr val="FFFF00"/>
              </a:solidFill>
            </c:spPr>
          </c:dPt>
          <c:cat>
            <c:multiLvlStrRef>
              <c:f>Statistiques!$L$5:$M$8</c:f>
              <c:multiLvlStrCache>
                <c:ptCount val="3"/>
                <c:lvl>
                  <c:pt idx="0">
                    <c:v>Fermée</c:v>
                  </c:pt>
                  <c:pt idx="1">
                    <c:v>Fermée</c:v>
                  </c:pt>
                  <c:pt idx="2">
                    <c:v>Ajournée</c:v>
                  </c:pt>
                </c:lvl>
                <c:lvl>
                  <c:pt idx="0">
                    <c:v>Majeur</c:v>
                  </c:pt>
                  <c:pt idx="1">
                    <c:v>Mineur</c:v>
                  </c:pt>
                </c:lvl>
              </c:multiLvlStrCache>
            </c:multiLvlStrRef>
          </c:cat>
          <c:val>
            <c:numRef>
              <c:f>Statistiques!$N$5:$N$8</c:f>
              <c:numCache>
                <c:formatCode>General</c:formatCode>
                <c:ptCount val="3"/>
                <c:pt idx="0">
                  <c:v>1</c:v>
                </c:pt>
                <c:pt idx="1">
                  <c:v>6</c:v>
                </c:pt>
                <c:pt idx="2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0</xdr:row>
      <xdr:rowOff>0</xdr:rowOff>
    </xdr:from>
    <xdr:to>
      <xdr:col>8</xdr:col>
      <xdr:colOff>885825</xdr:colOff>
      <xdr:row>10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381000</xdr:colOff>
      <xdr:row>10</xdr:row>
      <xdr:rowOff>95250</xdr:rowOff>
    </xdr:from>
    <xdr:to>
      <xdr:col>14</xdr:col>
      <xdr:colOff>38100</xdr:colOff>
      <xdr:row>24</xdr:row>
      <xdr:rowOff>165100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IERRE CAILLOT (x128160)" refreshedDate="42815.732524768522" createdVersion="3" refreshedVersion="3" minRefreshableVersion="3" recordCount="56">
  <cacheSource type="worksheet">
    <worksheetSource ref="A1:N59" sheet="CDT"/>
  </cacheSource>
  <cacheFields count="18">
    <cacheField name="NumCdt" numFmtId="0">
      <sharedItems/>
    </cacheField>
    <cacheField name="NumSFG" numFmtId="0">
      <sharedItems/>
    </cacheField>
    <cacheField name="NumReq" numFmtId="0">
      <sharedItems count="7">
        <s v="RG199-01"/>
        <s v="RG199-04"/>
        <s v="RG199-03"/>
        <s v="RG199-02"/>
        <s v="RG199-05"/>
        <s v="RG199-06"/>
        <s v="RG199-07"/>
      </sharedItems>
    </cacheField>
    <cacheField name="Prérequis /Etape" numFmtId="0">
      <sharedItems containsBlank="1"/>
    </cacheField>
    <cacheField name="DescriptionReq" numFmtId="0">
      <sharedItems longText="1"/>
    </cacheField>
    <cacheField name="NumCreance" numFmtId="0">
      <sharedItems containsBlank="1"/>
    </cacheField>
    <cacheField name="DescriptionCasDeTest" numFmtId="0">
      <sharedItems/>
    </cacheField>
    <cacheField name="RésultatAttendu" numFmtId="0">
      <sharedItems longText="1"/>
    </cacheField>
    <cacheField name="Val" numFmtId="0">
      <sharedItems containsBlank="1"/>
    </cacheField>
    <cacheField name="LibGHDest" numFmtId="0">
      <sharedItems containsNonDate="0" containsString="0" containsBlank="1"/>
    </cacheField>
    <cacheField name="RésultatObtenu" numFmtId="0">
      <sharedItems containsBlank="1"/>
    </cacheField>
    <cacheField name="JeuDeDonnée" numFmtId="0">
      <sharedItems containsBlank="1"/>
    </cacheField>
    <cacheField name="Période" numFmtId="0">
      <sharedItems containsBlank="1"/>
    </cacheField>
    <cacheField name="StatutCdt" numFmtId="0">
      <sharedItems count="5">
        <s v="Passed"/>
        <s v="Blocked" u="1"/>
        <s v="Failed" u="1"/>
        <s v="Not completed" u="1"/>
        <s v="No Run" u="1"/>
      </sharedItems>
    </cacheField>
    <cacheField name="StatutAno" numFmtId="0">
      <sharedItems containsBlank="1"/>
    </cacheField>
    <cacheField name="NumAnomalie" numFmtId="0">
      <sharedItems containsString="0" containsBlank="1" containsNumber="1" containsInteger="1" minValue="1" maxValue="9"/>
    </cacheField>
    <cacheField name="GravitéAnomalie" numFmtId="0">
      <sharedItems containsBlank="1"/>
    </cacheField>
    <cacheField name="CommentaireAno" numFmtId="0">
      <sharedItems containsBlank="1"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IERRE CAILLOT (x128160)" refreshedDate="42815.733574768521" createdVersion="3" refreshedVersion="3" minRefreshableVersion="3" recordCount="62">
  <cacheSource type="worksheet">
    <worksheetSource ref="A1:N65" sheet="CDT"/>
  </cacheSource>
  <cacheFields count="18">
    <cacheField name="NumCdt" numFmtId="0">
      <sharedItems/>
    </cacheField>
    <cacheField name="NumSFG" numFmtId="0">
      <sharedItems/>
    </cacheField>
    <cacheField name="NumReq" numFmtId="0">
      <sharedItems containsBlank="1"/>
    </cacheField>
    <cacheField name="Prérequis /Etape" numFmtId="0">
      <sharedItems containsBlank="1"/>
    </cacheField>
    <cacheField name="DescriptionReq" numFmtId="0">
      <sharedItems longText="1"/>
    </cacheField>
    <cacheField name="NumCreance" numFmtId="0">
      <sharedItems containsBlank="1"/>
    </cacheField>
    <cacheField name="DescriptionCasDeTest" numFmtId="0">
      <sharedItems/>
    </cacheField>
    <cacheField name="RésultatAttendu" numFmtId="0">
      <sharedItems longText="1"/>
    </cacheField>
    <cacheField name="Val" numFmtId="0">
      <sharedItems containsBlank="1"/>
    </cacheField>
    <cacheField name="LibGHDest" numFmtId="0">
      <sharedItems containsNonDate="0" containsString="0" containsBlank="1"/>
    </cacheField>
    <cacheField name="RésultatObtenu" numFmtId="0">
      <sharedItems containsBlank="1" longText="1"/>
    </cacheField>
    <cacheField name="JeuDeDonnée" numFmtId="0">
      <sharedItems containsBlank="1"/>
    </cacheField>
    <cacheField name="Période" numFmtId="0">
      <sharedItems containsBlank="1"/>
    </cacheField>
    <cacheField name="StatutCdt" numFmtId="0">
      <sharedItems count="4">
        <s v="Passed"/>
        <s v="No Run" u="1"/>
        <s v="Failed" u="1"/>
        <s v="Not completed" u="1"/>
      </sharedItems>
    </cacheField>
    <cacheField name="StatutAno" numFmtId="0">
      <sharedItems containsBlank="1" count="5">
        <m/>
        <s v="Fermée"/>
        <s v="Ajournée"/>
        <s v="Transmise" u="1"/>
        <s v="Crée" u="1"/>
      </sharedItems>
    </cacheField>
    <cacheField name="NumAnomalie" numFmtId="0">
      <sharedItems containsString="0" containsBlank="1" containsNumber="1" containsInteger="1" minValue="1" maxValue="9"/>
    </cacheField>
    <cacheField name="GravitéAnomalie" numFmtId="0">
      <sharedItems containsBlank="1" count="3">
        <m/>
        <s v="Mineur"/>
        <s v="Majeur"/>
      </sharedItems>
    </cacheField>
    <cacheField name="CommentaireAno" numFmtId="0">
      <sharedItems containsBlank="1"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6">
  <r>
    <s v="CDT001"/>
    <s v="E199"/>
    <x v="0"/>
    <s v="Chargement des données"/>
    <s v="La balise &lt;id referentiel&gt; est optionnelle. Si la balise est absente on considère que la valeur à trouver est DAI"/>
    <m/>
    <s v="Charger le fichier 47_10_F1_OK.xml (Pas de balise id-referentiel, ancienne structure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1_OK.xml"/>
    <s v="Mois 1"/>
    <x v="0"/>
    <m/>
    <m/>
    <m/>
    <s v="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"/>
  </r>
  <r>
    <s v="CDT002"/>
    <s v="E199"/>
    <x v="0"/>
    <s v="Chargement des données"/>
    <s v="La balise &lt;id referentiel&gt; est optionnelle. Si la balise est absente on considère que la valeur à trouver est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03"/>
    <s v="E199"/>
    <x v="0"/>
    <s v="Chargement des données"/>
    <s v="La balise &lt;id referentiel&gt; est optionnelle. Si la balise est absente on considère que la valeur à trouver est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04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4_KO.xml (Pas de balise id-referentiel, ancienne structure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4_KO.xml"/>
    <m/>
    <x v="0"/>
    <m/>
    <m/>
    <m/>
    <m/>
  </r>
  <r>
    <s v="CDT005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50_x000a_ID199002050"/>
    <s v="Charger le fichier 47_10_F5_KO.xml (Balise id-referentiel présente et valorisée a DAI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50"/>
    <m/>
    <m/>
    <m/>
    <s v="47_10_F5_KO.xml"/>
    <m/>
    <x v="0"/>
    <m/>
    <m/>
    <m/>
    <m/>
  </r>
  <r>
    <s v="CDT006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6_KO.xml (Balise id-referentiel présente et valorisée a RCT, données RCT et KO ctrl (1 client en DAI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6_KO.xml"/>
    <m/>
    <x v="0"/>
    <m/>
    <m/>
    <m/>
    <m/>
  </r>
  <r>
    <s v="CDT007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7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 et E199000003"/>
    <m/>
    <m/>
    <m/>
    <s v="47_10_F7_KO.xml"/>
    <m/>
    <x v="0"/>
    <m/>
    <m/>
    <m/>
    <m/>
  </r>
  <r>
    <s v="CDT008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3_x000a_ID199002003"/>
    <s v="Charger le fichier 47_10_F8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3"/>
    <m/>
    <m/>
    <m/>
    <s v="47_10_F8_KO.xml"/>
    <m/>
    <x v="0"/>
    <m/>
    <m/>
    <m/>
    <m/>
  </r>
  <r>
    <s v="CDT009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9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9_KO.xml"/>
    <m/>
    <x v="0"/>
    <m/>
    <m/>
    <m/>
    <m/>
  </r>
  <r>
    <s v="CDT010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95_x000a_ID199002095"/>
    <s v="Charger le fichier 47_10_F10_KO.xml (Pas de balise id-referentiel, ancienne structure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95"/>
    <m/>
    <m/>
    <m/>
    <s v="47_10_F10_KO.xml"/>
    <m/>
    <x v="0"/>
    <m/>
    <m/>
    <m/>
    <m/>
  </r>
  <r>
    <s v="CDT011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1_KO.xml (Balise id-referentiel présente et valorisée a DAI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1_KO.xml"/>
    <m/>
    <x v="0"/>
    <m/>
    <m/>
    <m/>
    <m/>
  </r>
  <r>
    <s v="CDT012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2_KO.xml (Balise id-referentiel présente et valorisée a RCT, données RCT et KO ctrl (1 client en DAI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2_KO.xml"/>
    <m/>
    <x v="0"/>
    <m/>
    <m/>
    <m/>
    <m/>
  </r>
  <r>
    <s v="CDT013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14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15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m/>
    <m/>
    <m/>
    <s v="cf. Ano 1"/>
  </r>
  <r>
    <s v="CDT016"/>
    <s v="E199"/>
    <x v="2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m/>
    <m/>
    <m/>
    <s v="cf. Ano 2"/>
  </r>
  <r>
    <s v="CDT017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5_KO.xml (Balise id-referentiel présente et valorisée a DAI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5_KO.xml"/>
    <m/>
    <x v="0"/>
    <m/>
    <m/>
    <m/>
    <m/>
  </r>
  <r>
    <s v="CDT018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6_KO.xml (Balise id-referentiel présente et valorisée a RCT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6_KO.xml"/>
    <m/>
    <x v="0"/>
    <m/>
    <m/>
    <m/>
    <m/>
  </r>
  <r>
    <s v="CDT019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7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7_KO.xml"/>
    <m/>
    <x v="0"/>
    <m/>
    <m/>
    <m/>
    <m/>
  </r>
  <r>
    <s v="CDT020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8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8_KO.xml"/>
    <m/>
    <x v="0"/>
    <m/>
    <m/>
    <m/>
    <m/>
  </r>
  <r>
    <s v="CDT021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9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9_KO.xml"/>
    <m/>
    <x v="0"/>
    <m/>
    <m/>
    <m/>
    <m/>
  </r>
  <r>
    <s v="CDT022"/>
    <s v="E199"/>
    <x v="1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20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20_KO.xml"/>
    <m/>
    <x v="0"/>
    <m/>
    <m/>
    <m/>
    <m/>
  </r>
  <r>
    <s v="CDT023"/>
    <s v="E199"/>
    <x v="3"/>
    <s v="Chargement des données"/>
    <s v="Les valeurs de la balise sont RCT ou DAI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s v="Fermée"/>
    <n v="1"/>
    <s v="Mineur"/>
    <s v="Pas de rejet précontrole mais toutes créances sont rejetées pour erreur de referenciel._x000a_Valeur : &lt;id-referentiel&gt;DAO&lt;/id-referentiel&gt;"/>
  </r>
  <r>
    <s v="CDT024"/>
    <s v="E199"/>
    <x v="3"/>
    <s v="Chargement des données"/>
    <s v="Les valeurs de la balise sont RCT ou DAI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s v="Fermée"/>
    <n v="2"/>
    <s v="Majeur"/>
    <s v="Pas d'erreur levée._x000a_Valeur : &lt;id-referentiel&gt;RCO&lt;/id-referentiel&gt;"/>
  </r>
  <r>
    <s v="CDT025"/>
    <s v="E199"/>
    <x v="3"/>
    <s v="Chargement des données"/>
    <s v="Les valeurs de la balise sont RCT ou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m/>
    <m/>
    <m/>
    <m/>
  </r>
  <r>
    <s v="CDT026"/>
    <s v="E199"/>
    <x v="3"/>
    <s v="Chargement des données"/>
    <s v="Les valeurs de la balise sont RCT ou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m/>
    <m/>
    <m/>
    <m/>
  </r>
  <r>
    <s v="CDT027"/>
    <s v="E199"/>
    <x v="4"/>
    <s v="Consultation / Editer liste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Editer liste par client d'un arreté Mensuel"/>
    <s v="Vérifier que le champs :&quot; Identifiant DAI &quot; à bien été renommé en &quot; Identifiant tiers groupe SG &quot;"/>
    <m/>
    <m/>
    <m/>
    <m/>
    <s v="Mois 1"/>
    <x v="0"/>
    <m/>
    <m/>
    <m/>
    <s v="A vérifier dans le M2 (pour Run 1)"/>
  </r>
  <r>
    <s v="CDT028"/>
    <s v="E199"/>
    <x v="4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Mensuel"/>
    <s v="Vérifier que le champs :&quot;Identifiant DAI de la contrepartie&quot; à bien été renommé en &quot; Identifiant tiers groupe SG &quot;"/>
    <m/>
    <m/>
    <m/>
    <m/>
    <s v="Mois 1"/>
    <x v="0"/>
    <m/>
    <m/>
    <m/>
    <m/>
  </r>
  <r>
    <s v="CDT029"/>
    <s v="E199"/>
    <x v="4"/>
    <s v="Paramètres generaux/ paramètres fonctionnel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Paramètres generaux/ paramètres fonctionnels d'un arreté Mensuel"/>
    <s v="Vérifier que le champs :&quot;Identifiant DAI générique&quot; à bien été renommé en &quot; Identifiant tiers groupe SG générique &quot;"/>
    <m/>
    <m/>
    <m/>
    <m/>
    <s v="Mois 1"/>
    <x v="0"/>
    <m/>
    <m/>
    <m/>
    <m/>
  </r>
  <r>
    <s v="CDT030"/>
    <s v="E199"/>
    <x v="4"/>
    <s v="Chargement des données/Anomali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hargement des données/Anomalies d'un arreté Mensuel"/>
    <s v="Vérifier que le champs :&quot;Absence identifiant DAI de la contrepartie (Non Retail)&quot; à bien été renommé en &quot;Identifiant du référentiel tiers groupe SG non renseigné&quot;"/>
    <m/>
    <m/>
    <m/>
    <s v="47_10_F21_KO.xml"/>
    <s v="Mois 1"/>
    <x v="0"/>
    <m/>
    <m/>
    <m/>
    <m/>
  </r>
  <r>
    <s v="CDT031"/>
    <s v="E199"/>
    <x v="4"/>
    <s v="Mise à jour du stock de créance/créances sensibl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u stock de créance/créances sensibles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2"/>
    <s v="E199"/>
    <x v="4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3"/>
    <s v="E199"/>
    <x v="4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4"/>
    <s v="E199"/>
    <x v="4"/>
    <s v="Mise à jour de la perte attendue/Onglet Erreur + Onglet Anomalie + Compte rendu du traitem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e la perte attendue/Onglet Erreur + Onglet Anomalie + Compte rendu du traitement d'un arreté Mensuel"/>
    <s v="Vérifier que le champs :&quot;Identifiant DAI&quot; à bien été renommé en &quot;Identifiant tiers groupe SG&quot;"/>
    <m/>
    <m/>
    <m/>
    <m/>
    <s v="Mois 1"/>
    <x v="0"/>
    <m/>
    <m/>
    <m/>
    <m/>
  </r>
  <r>
    <s v="CDT035"/>
    <s v="E199"/>
    <x v="4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Mensuel"/>
    <s v="Vérifier que le champs :&quot;Numéro DAI&quot; à bien été renommé en &quot;Identifiant tiers groupe SG client/ GH&quot;"/>
    <s v="Numéro tiers groupe SG client / Numéro groupe GH"/>
    <m/>
    <s v="On attend plutôt : &quot;Numéro tiers groupe SG / Numéro groupe GH&quot; (enlever client qui est redondant)"/>
    <m/>
    <s v="Mois 1"/>
    <x v="0"/>
    <s v="Fermée"/>
    <n v="4"/>
    <s v="Mineur"/>
    <s v="On attend plutôt : &quot;Numéro tiers groupe SG / Numéro groupe GH&quot; (enlever client qui est redondant)"/>
  </r>
  <r>
    <s v="CDT036"/>
    <s v="E199"/>
    <x v="4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Mensuel"/>
    <s v="Vérifier que le champs :&quot;id-dai&quot; à bien été renommé en &quot; Identifiant tiers  groupe SG &quot; dans la version csv et qu'il n'y a pas de changement dans la sortie complete xml"/>
    <m/>
    <m/>
    <m/>
    <m/>
    <s v="Mois 1"/>
    <x v="0"/>
    <m/>
    <m/>
    <m/>
    <m/>
  </r>
  <r>
    <s v="CDT037"/>
    <s v="E199"/>
    <x v="4"/>
    <s v="Exportation de créances vers proweb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Exportation de créances vers proweb d'un arreté Trimestriel"/>
    <s v="Vérifier que le champs :&quot;Identifiant DAI&quot; à bien été renommé en &quot; Identifiant tiers  groupe SG &quot;"/>
    <m/>
    <m/>
    <m/>
    <m/>
    <s v="Trimestriel"/>
    <x v="0"/>
    <m/>
    <m/>
    <m/>
    <m/>
  </r>
  <r>
    <s v="CDT038"/>
    <s v="E199"/>
    <x v="4"/>
    <s v="Identification des écarts / onglet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Identification des écarts / onglet par client d'un arreté Trimestriel"/>
    <s v="Vérifier que le champs :&quot;Numéro DAI client/ Numéro DAI GH »&quot; à bien été renommé en &quot;Identifiant tiers groupe SG client/ GH&quot;"/>
    <m/>
    <m/>
    <s v="Le libéllé trouvé est &quot;Numéro tiers groupe SG client/Numéro groupe GH&quot; . Le libellé attendu est &quot;Numéro tiers group SG client /GH&quot;. (Ce concerter avant d'effectuer la modif, peut être faudrait il harmoniser tous les libéllés)"/>
    <m/>
    <s v="Mois 3"/>
    <x v="0"/>
    <s v="Fermée"/>
    <n v="8"/>
    <s v="Mineur"/>
    <s v="Le libéllé trouvé est &quot;Numéro tiers groupe SG client/Numéro groupe GH&quot; . Le libellé attendu est &quot;Numéro tiers group SG client /GH&quot;. (Ce concerter avant d'effectuer la modif, peut être faudrait il harmoniser tous les libéllés)"/>
  </r>
  <r>
    <s v="CDT039"/>
    <s v="E199"/>
    <x v="4"/>
    <s v="Consultation / critère 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critère  d'un arreté Trimestriel"/>
    <s v="Vérifier que le champs :&quot;Identifiant DAI de la contrepartie&quot; à bien été renommé en &quot;Identifiant tiers groupe SG &quot;"/>
    <m/>
    <m/>
    <m/>
    <m/>
    <s v="Trimestriel"/>
    <x v="0"/>
    <m/>
    <m/>
    <m/>
    <m/>
  </r>
  <r>
    <s v="CDT040"/>
    <s v="E199"/>
    <x v="4"/>
    <s v="Search / Print client lis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Print client list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1"/>
    <s v="E199"/>
    <x v="4"/>
    <s v="Search / Search / 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Search / Criteria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2"/>
    <s v="E199"/>
    <x v="4"/>
    <s v="General parameters / Functional paramete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General parameters / Functional parameters d'un arreté Monthly"/>
    <s v="Vérifier que le champs :&quot;General DAI identifier&quot; à bien été renommé en &quot;SG group Third party generic Identifier&quot;"/>
    <m/>
    <m/>
    <s v="General SG group Third party identifier"/>
    <m/>
    <s v="Mois 1"/>
    <x v="0"/>
    <s v="Ajournée"/>
    <n v="5"/>
    <s v="Mineur"/>
    <s v="Ok pour &quot;General SG group Third party identifier&quot;"/>
  </r>
  <r>
    <s v="CDT043"/>
    <s v="E199"/>
    <x v="4"/>
    <s v="Data loading / Erro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Data loading / Errors d'un arreté Monthly"/>
    <s v="Vérifier que le champs :&quot;DAI referential identifier not defined&quot; à bien été renommé en &quot;SG group Third party referential identifier not defined&quot;"/>
    <m/>
    <m/>
    <m/>
    <s v="47_10_F21_KO.xml"/>
    <s v="Mois 3"/>
    <x v="0"/>
    <m/>
    <m/>
    <m/>
    <s v="A noter le message est different : &quot;SG group Third party referential identifier not defined&quot; mais correct. Modification acceptée"/>
  </r>
  <r>
    <s v="CDT044"/>
    <s v="E199"/>
    <x v="4"/>
    <s v="Update the debt inventory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the debt inventory d'un arreté Monthly"/>
    <s v="Vérifier que le champs :&quot;DAI identifier&quot; à bien été renommé en &quot;SG group Third party Identifier&quot;"/>
    <m/>
    <m/>
    <m/>
    <m/>
    <s v="Mois 3"/>
    <x v="0"/>
    <m/>
    <m/>
    <m/>
    <m/>
  </r>
  <r>
    <s v="CDT045"/>
    <s v="E199"/>
    <x v="4"/>
    <s v="Create and modify debt/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Criteria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6"/>
    <s v="E199"/>
    <x v="4"/>
    <s v="Create and modify debt/search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Result d'un arreté Monthly"/>
    <s v="Vérifier que le champs :&quot;DAI identifier&quot; à bien été renommé en &quot;SG group Third party Identifier&quot;"/>
    <m/>
    <m/>
    <m/>
    <m/>
    <s v="Mois 1"/>
    <x v="0"/>
    <m/>
    <m/>
    <m/>
    <m/>
  </r>
  <r>
    <s v="CDT047"/>
    <s v="E199"/>
    <x v="4"/>
    <s v="Update of the expected loss/Tab Error + tab Defect +Process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of the expected loss/Tab Error + tab Defect +Process Report d'un arreté Monthly"/>
    <s v="Vérifier que le champs :&quot;DAI identifier&quot; à bien été renommé en &quot;SG group Third party Identifier&quot;"/>
    <m/>
    <m/>
    <m/>
    <m/>
    <s v="Mois 3"/>
    <x v="0"/>
    <s v="Fermée"/>
    <n v="7"/>
    <s v="Mineur"/>
    <s v="En version anglaise, les onglets &quot;Anomalie&quot; et &quot;Erreur&quot; sont tous les deux nommés &quot;Error&quot;. Il faut renommer l'onglet correspondant à anomalie = &quot; Warning&quot;"/>
  </r>
  <r>
    <s v="CDT048"/>
    <s v="E199"/>
    <x v="4"/>
    <s v="Calculations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alculations/Result d'un arreté Monthly"/>
    <s v="Vérifier que le champs :&quot;Dai Number&quot; à bien été renommé en &quot;SG group Third party Identifier customer/HG&quot;"/>
    <s v="Customer SG group Third party number / Homogeneous group SG group Third party number"/>
    <m/>
    <s v="SG group Third party identifier customer/HG"/>
    <m/>
    <s v="Mois 2"/>
    <x v="0"/>
    <s v="Fermée"/>
    <n v="6"/>
    <s v="Mineur"/>
    <s v="On attend plutôt : &quot; SG group Third party number&quot; (Customer est redondant) idem pour l'export csv._x000a_=&gt; obtenu R2 conforme à la spec 2.6"/>
  </r>
  <r>
    <s v="CDT049"/>
    <s v="E199"/>
    <x v="4"/>
    <s v="Reporting generation/Full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Reporting generation/Full Report d'un arreté Monthly"/>
    <s v="Vérifier que le champs :&quot;Dai-id&quot; à bien été renommé en &quot;SG group Third party Identifier&quot;"/>
    <m/>
    <m/>
    <m/>
    <m/>
    <s v="Mois 3"/>
    <x v="0"/>
    <m/>
    <m/>
    <m/>
    <m/>
  </r>
  <r>
    <s v="CDT050"/>
    <s v="E199"/>
    <x v="4"/>
    <s v="Export of debt to Provweb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Export of debt to Provweb d'un arreté Quaterly"/>
    <s v="Vérifier que le champs :&quot;DAI identifier&quot; à bien été renommé en &quot;SG group Third party Identifier&quot;"/>
    <m/>
    <m/>
    <m/>
    <m/>
    <s v="Trimestriel"/>
    <x v="0"/>
    <m/>
    <m/>
    <m/>
    <m/>
  </r>
  <r>
    <s v="CDT051"/>
    <s v="E199"/>
    <x v="4"/>
    <s v="Identification of discrepancie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Identification of discrepancies d'un arreté Quaterly"/>
    <s v="Vérifier que le champs :&quot;Customer DAI number/Homogeneous group DAI number&quot; à bien été renommé en &quot;SG group Third party Identifier customer/HG&quot;"/>
    <m/>
    <m/>
    <s v="SG group Third party identifier customer/HG"/>
    <m/>
    <s v="Mois 3"/>
    <x v="0"/>
    <s v="Fermée"/>
    <n v="9"/>
    <s v="Mineur"/>
    <s v="Le libelllé trouvé est &quot;Customer SG group third party number&quot; à remplacer par : &quot;SG group third party identifier&quot;_x000a_=&gt; obtenu R2 conforme à la spec 2.6"/>
  </r>
  <r>
    <s v="CDT052"/>
    <s v="E199"/>
    <x v="4"/>
    <s v="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/Criteria d'un arreté Quaterly"/>
    <s v="Vérifier que le champs :&quot;DAI identifier&quot; à bien été renommé en &quot;SG group Third party Identifier&quot;"/>
    <m/>
    <m/>
    <m/>
    <m/>
    <s v="Trimestriel"/>
    <x v="0"/>
    <m/>
    <m/>
    <m/>
    <m/>
  </r>
  <r>
    <s v="CDT053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1_OK.xml"/>
    <s v="Vérifier qu'il n'y a aucune erreur technique lors de l'enregistrement des données des différentes étapes."/>
    <m/>
    <m/>
    <m/>
    <m/>
    <m/>
    <x v="0"/>
    <m/>
    <m/>
    <m/>
    <m/>
  </r>
  <r>
    <s v="CDT054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2_OK.xml"/>
    <s v="Vérifier qu'il n'y a aucune erreur technique lors de l'enregistrement des données des différentes étapes."/>
    <m/>
    <m/>
    <m/>
    <m/>
    <m/>
    <x v="0"/>
    <m/>
    <m/>
    <m/>
    <m/>
  </r>
  <r>
    <s v="CDT055"/>
    <s v="E199"/>
    <x v="5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3_OK.xml"/>
    <s v="Vérifier qu'il n'y a aucune erreur technique lors de l'enregistrement des données des différentes étapes."/>
    <m/>
    <m/>
    <m/>
    <m/>
    <m/>
    <x v="0"/>
    <m/>
    <m/>
    <m/>
    <m/>
  </r>
  <r>
    <s v="CDT056"/>
    <s v="E199"/>
    <x v="6"/>
    <m/>
    <s v="Pas de modification des arrêtés clôturés : pas de reprise d’historique (pas de remplacement du DAI par un code RCT sur l’historique)."/>
    <m/>
    <s v="Sur la base dans lasquelle à été joué le run trimestriel effectué à partir du fichier 47_10_F3_OK.xml (Balise id-referentiel présente et valorisée a RCT, données RCT et OK ctrl) , consulter les arretés cloturés."/>
    <s v="Vérifier que l'information &quot;id tiers groupe&quot; est bien remontée avec un numéro de DAI"/>
    <m/>
    <m/>
    <m/>
    <m/>
    <m/>
    <x v="0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2">
  <r>
    <s v="CDT001"/>
    <s v="E199"/>
    <s v="RG199-01"/>
    <s v="Chargement des données"/>
    <s v="La balise &lt;id referentiel&gt; est optionnelle. Si la balise est absente on considère que la valeur à trouver est DAI"/>
    <m/>
    <s v="Charger le fichier 47_10_F1_OK.xml (Pas de balise id-referentiel, ancienne structure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1_OK.xml"/>
    <s v="Mois 1"/>
    <x v="0"/>
    <x v="0"/>
    <m/>
    <x v="0"/>
    <s v="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"/>
  </r>
  <r>
    <s v="CDT002"/>
    <s v="E199"/>
    <s v="RG199-01"/>
    <s v="Chargement des données"/>
    <s v="La balise &lt;id referentiel&gt; est optionnelle. Si la balise est absente on considère que la valeur à trouver est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03"/>
    <s v="E199"/>
    <s v="RG199-01"/>
    <s v="Chargement des données"/>
    <s v="La balise &lt;id referentiel&gt; est optionnelle. Si la balise est absente on considère que la valeur à trouver est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04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4_KO.xml (Pas de balise id-referentiel, ancienne structure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4_KO.xml"/>
    <m/>
    <x v="0"/>
    <x v="0"/>
    <m/>
    <x v="0"/>
    <m/>
  </r>
  <r>
    <s v="CDT005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50_x000a_ID199002050"/>
    <s v="Charger le fichier 47_10_F5_KO.xml (Balise id-referentiel présente et valorisée a DAI, données DAI et KO ctrl (1 client en RCT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50"/>
    <m/>
    <m/>
    <m/>
    <s v="47_10_F5_KO.xml"/>
    <m/>
    <x v="0"/>
    <x v="0"/>
    <m/>
    <x v="0"/>
    <m/>
  </r>
  <r>
    <s v="CDT006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6_KO.xml (Balise id-referentiel présente et valorisée a RCT, données RCT et KO ctrl (1 client en DAI OK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6_KO.xml"/>
    <m/>
    <x v="0"/>
    <x v="0"/>
    <m/>
    <x v="0"/>
    <m/>
  </r>
  <r>
    <s v="CDT007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7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 et E199000003"/>
    <m/>
    <m/>
    <m/>
    <s v="47_10_F7_KO.xml"/>
    <m/>
    <x v="0"/>
    <x v="0"/>
    <m/>
    <x v="0"/>
    <m/>
  </r>
  <r>
    <s v="CDT008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3_x000a_ID199002003"/>
    <s v="Charger le fichier 47_10_F8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3"/>
    <m/>
    <m/>
    <m/>
    <s v="47_10_F8_KO.xml"/>
    <m/>
    <x v="0"/>
    <x v="0"/>
    <m/>
    <x v="0"/>
    <m/>
  </r>
  <r>
    <s v="CDT009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9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9_KO.xml"/>
    <m/>
    <x v="0"/>
    <x v="0"/>
    <m/>
    <x v="0"/>
    <m/>
  </r>
  <r>
    <s v="CDT010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95_x000a_ID199002095"/>
    <s v="Charger le fichier 47_10_F10_KO.xml (Pas de balise id-referentiel, ancienne structure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95"/>
    <m/>
    <m/>
    <m/>
    <s v="47_10_F10_KO.xml"/>
    <m/>
    <x v="0"/>
    <x v="0"/>
    <m/>
    <x v="0"/>
    <m/>
  </r>
  <r>
    <s v="CDT011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1_KO.xml (Balise id-referentiel présente et valorisée a DAI, données DAI et KO ctrl (1 client en RCT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1_KO.xml"/>
    <m/>
    <x v="0"/>
    <x v="0"/>
    <m/>
    <x v="0"/>
    <m/>
  </r>
  <r>
    <s v="CDT012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2_KO.xml (Balise id-referentiel présente et valorisée a RCT, données RCT et KO ctrl (1 client en DAI KO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2_KO.xml"/>
    <m/>
    <x v="0"/>
    <x v="0"/>
    <m/>
    <x v="0"/>
    <m/>
  </r>
  <r>
    <s v="CDT013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14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15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x v="0"/>
    <m/>
    <x v="0"/>
    <s v="cf. Ano 1"/>
  </r>
  <r>
    <s v="CDT016"/>
    <s v="E199"/>
    <s v="RG199-03"/>
    <s v="Chargement des données"/>
    <s v="Si la balise &lt;id referentiel&gt; ne respecte pas les règles de structure ou que la valeur est incorrecte, alors une erreur bloquante sera levée lors de l’import du fichier et le fichier ne sera pas importé.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x v="0"/>
    <m/>
    <x v="0"/>
    <s v="cf. Ano 2"/>
  </r>
  <r>
    <s v="CDT017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5_KO.xml (Balise id-referentiel présente et valorisée a DAI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5_KO.xml"/>
    <m/>
    <x v="0"/>
    <x v="0"/>
    <m/>
    <x v="0"/>
    <m/>
  </r>
  <r>
    <s v="CDT018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m/>
    <s v="Charger le fichier 47_10_F16_KO.xml (Balise id-referentiel présente et valorisée a RCT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les 108 créances sont en anomalies bloquantes :&quot;référentiel client non conforme&quot;"/>
    <m/>
    <m/>
    <m/>
    <s v="47_10_F16_KO.xml"/>
    <m/>
    <x v="0"/>
    <x v="0"/>
    <m/>
    <x v="0"/>
    <m/>
  </r>
  <r>
    <s v="CDT019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2_x000a_ID199002002"/>
    <s v="Charger le fichier 47_10_F17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2"/>
    <m/>
    <m/>
    <m/>
    <s v="47_10_F17_KO.xml"/>
    <m/>
    <x v="0"/>
    <x v="0"/>
    <m/>
    <x v="0"/>
    <m/>
  </r>
  <r>
    <s v="CDT020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8_KO.xml (Pas de balise id-referentiel, ancienne structure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8_KO.xml"/>
    <m/>
    <x v="0"/>
    <x v="0"/>
    <m/>
    <x v="0"/>
    <m/>
  </r>
  <r>
    <s v="CDT021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19_KO.xml (Balise id-referentiel présente et valorisée a DAI, données DAI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19_KO.xml"/>
    <m/>
    <x v="0"/>
    <x v="0"/>
    <m/>
    <x v="0"/>
    <m/>
  </r>
  <r>
    <s v="CDT022"/>
    <s v="E199"/>
    <s v="RG199-04"/>
    <s v="Chargement des données"/>
    <s v="Si la valeur d’une balise id-DAI n’est pas conforme à la regex du référentiel attendu, une erreur bloquante est levée avec pour motif : « Erreur : Référentiel client non conforme » (Error: Inconsistent customer repository)"/>
    <s v="ID199001001_x000a_ID199002001"/>
    <s v="Charger le fichier 47_10_F20_KO.xml (Balise id-referentiel présente et valorisée a RCT, données RCT et KO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Deux anomalies bloquantes : &quot;Référentiel client non conforme&quot; sont levées pour les créances du client N°E199000001"/>
    <m/>
    <m/>
    <m/>
    <s v="47_10_F20_KO.xml"/>
    <m/>
    <x v="0"/>
    <x v="0"/>
    <m/>
    <x v="0"/>
    <m/>
  </r>
  <r>
    <s v="CDT023"/>
    <s v="E199"/>
    <s v="RG199-02"/>
    <s v="Chargement des données"/>
    <s v="Les valeurs de la balise sont RCT ou DAI"/>
    <m/>
    <s v="Charger le fichier 47_10_F13_KO.xml (Balise id-referentiel présente et mal valorisée, données DAI et OK ctrl) et dérouler l'étape de chargement des données sans la valider, éditer la liste de toutes les anomalies"/>
    <s v="Le fichier est rejeté lors des précontroles"/>
    <m/>
    <m/>
    <m/>
    <s v="47_10_F13_KO.xml"/>
    <m/>
    <x v="0"/>
    <x v="1"/>
    <n v="1"/>
    <x v="1"/>
    <s v="Pas de rejet précontrole mais toutes créances sont rejetées pour erreur de referenciel._x000a_Valeur : &lt;id-referentiel&gt;DAO&lt;/id-referentiel&gt;"/>
  </r>
  <r>
    <s v="CDT024"/>
    <s v="E199"/>
    <s v="RG199-02"/>
    <s v="Chargement des données"/>
    <s v="Les valeurs de la balise sont RCT ou DAI"/>
    <m/>
    <s v="Charger le fichier 47_10_F14_KO.xml (Balise id-referentiel présente et mal valorisée, données RCT et OK ctrl) et dérouler l'étape de chargement des données sans la valider, éditer la liste de toutes les anomalies"/>
    <s v="Le fichier est rejeté lors des précontroles"/>
    <m/>
    <m/>
    <m/>
    <s v="47_10_F14_KO.xml"/>
    <m/>
    <x v="0"/>
    <x v="1"/>
    <n v="2"/>
    <x v="2"/>
    <s v="Pas d'erreur levée._x000a_Valeur : &lt;id-referentiel&gt;RCO&lt;/id-referentiel&gt;"/>
  </r>
  <r>
    <s v="CDT025"/>
    <s v="E199"/>
    <s v="RG199-02"/>
    <s v="Chargement des données"/>
    <s v="Les valeurs de la balise sont RCT ou DAI"/>
    <m/>
    <s v="Charger le fichier 47_10_F2_OK.xml (Balise id-referentiel présente et valorisée a DAI, données DAI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2_OK.xml"/>
    <m/>
    <x v="0"/>
    <x v="0"/>
    <m/>
    <x v="0"/>
    <m/>
  </r>
  <r>
    <s v="CDT026"/>
    <s v="E199"/>
    <s v="RG199-02"/>
    <s v="Chargement des données"/>
    <s v="Les valeurs de la balise sont RCT ou DAI"/>
    <m/>
    <s v="Charger le fichier 47_10_F3_OK.xml (Balise id-referentiel présente et valorisée a RCT, données RCT et OK ctrl) et dérouler l'étape de chargement des données sans la valider, éditer la liste de toutes les anomalies"/>
    <s v="Etape pré-contrôle : Le fichier est exploitable. Vous pouvez procéder à l'importation des données._x000a_Etape import : 'Contrepartie 108 sur 108._x000a_Importation réalisée avec succès._x000a_Toutes les créances ont pu être importées._x000a_Elaboration de la liste des anomalies. Veuillez patienter..._x000a_Importation terminée._x000a_Onglet Anomalie : aucune anomalie bloquante, l'édition de la liste des anomalie est conforme et identique à 47_10_F1_OK_TouteAnoChargement.csv"/>
    <m/>
    <m/>
    <m/>
    <s v="47_10_F3_OK.xml"/>
    <m/>
    <x v="0"/>
    <x v="0"/>
    <m/>
    <x v="0"/>
    <m/>
  </r>
  <r>
    <s v="CDT027"/>
    <s v="E199"/>
    <s v="RG199-05"/>
    <s v="Consultation / Editer liste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Editer liste par client d'un arreté Mensuel"/>
    <s v="Vérifier que le champs :&quot; Identifiant DAI &quot; à bien été renommé en &quot; Identifiant tiers groupe SG &quot;"/>
    <m/>
    <m/>
    <m/>
    <m/>
    <s v="Mois 1"/>
    <x v="0"/>
    <x v="0"/>
    <m/>
    <x v="0"/>
    <s v="A vérifier dans le M2 (pour Run 1)"/>
  </r>
  <r>
    <s v="CDT028"/>
    <s v="E199"/>
    <s v="RG199-05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Mensuel"/>
    <s v="Vérifier que le champs :&quot;Identifiant DAI de la contrepartie&quot; à bien été renommé en &quot; Identifiant tiers groupe SG &quot;"/>
    <m/>
    <m/>
    <m/>
    <m/>
    <s v="Mois 1"/>
    <x v="0"/>
    <x v="0"/>
    <m/>
    <x v="0"/>
    <m/>
  </r>
  <r>
    <s v="CDT029"/>
    <s v="E199"/>
    <s v="RG199-05"/>
    <s v="Paramètres generaux/ paramètres fonctionnel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Paramètres generaux/ paramètres fonctionnels d'un arreté Mensuel"/>
    <s v="Vérifier que le champs :&quot;Identifiant DAI générique&quot; à bien été renommé en &quot; Identifiant tiers groupe SG générique &quot;"/>
    <m/>
    <m/>
    <m/>
    <m/>
    <s v="Mois 1"/>
    <x v="0"/>
    <x v="0"/>
    <m/>
    <x v="0"/>
    <m/>
  </r>
  <r>
    <s v="CDT030"/>
    <s v="E199"/>
    <s v="RG199-05"/>
    <s v="Chargement des données/Anomali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hargement des données/Anomalies d'un arreté Mensuel"/>
    <s v="Vérifier que le champs :&quot;Absence identifiant DAI de la contrepartie (Non Retail)&quot; à bien été renommé en &quot;Identifiant du référentiel tiers groupe SG non renseigné&quot;"/>
    <m/>
    <m/>
    <m/>
    <s v="47_10_F21_KO.xml"/>
    <s v="Mois 1"/>
    <x v="0"/>
    <x v="0"/>
    <m/>
    <x v="0"/>
    <m/>
  </r>
  <r>
    <s v="CDT031"/>
    <s v="E199"/>
    <s v="RG199-05"/>
    <s v="Mise à jour du stock de créance/créances sensibles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u stock de créance/créances sensibles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2"/>
    <s v="E199"/>
    <s v="RG199-05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3"/>
    <s v="E199"/>
    <s v="RG199-05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4"/>
    <s v="E199"/>
    <s v="RG199-05"/>
    <s v="Mise à jour de la perte attendue/Onglet Erreur + Onglet Anomalie + Compte rendu du traitem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Mise à jour de la perte attendue/Onglet Erreur + Onglet Anomalie + Compte rendu du traitement d'un arreté Mensuel"/>
    <s v="Vérifier que le champs :&quot;Identifiant DAI&quot; à bien été renommé en &quot;Identifiant tiers groupe SG&quot;"/>
    <m/>
    <m/>
    <m/>
    <m/>
    <s v="Mois 1"/>
    <x v="0"/>
    <x v="0"/>
    <m/>
    <x v="0"/>
    <m/>
  </r>
  <r>
    <s v="CDT035"/>
    <s v="E199"/>
    <s v="RG199-05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Mensuel"/>
    <s v="Vérifier que le champs :&quot;Numéro DAI&quot; à bien été renommé en &quot;Identifiant tiers groupe SG client/ GH&quot;"/>
    <s v="Numéro tiers groupe SG client / Numéro groupe GH"/>
    <m/>
    <s v="On attend plutôt : &quot;Numéro tiers groupe SG / Numéro groupe GH&quot; (enlever client qui est redondant)"/>
    <m/>
    <s v="Mois 1"/>
    <x v="0"/>
    <x v="1"/>
    <n v="4"/>
    <x v="1"/>
    <s v="On attend plutôt : &quot;Numéro tiers groupe SG / Numéro groupe GH&quot; (enlever client qui est redondant)"/>
  </r>
  <r>
    <s v="CDT036"/>
    <s v="E199"/>
    <s v="RG199-05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Mensuel"/>
    <s v="Vérifier que le champs :&quot;id-dai&quot; à bien été renommé en &quot; Identifiant tiers  groupe SG &quot; dans la version csv et qu'il n'y a pas de changement dans la sortie complete xml"/>
    <m/>
    <m/>
    <m/>
    <m/>
    <s v="Mois 1"/>
    <x v="0"/>
    <x v="0"/>
    <m/>
    <x v="0"/>
    <m/>
  </r>
  <r>
    <s v="CDT037"/>
    <s v="E199"/>
    <s v="RG199-05"/>
    <s v="Exportation de créances vers proweb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Exportation de créances vers proweb d'un arreté Trimestriel"/>
    <s v="Vérifier que le champs :&quot;Identifiant DAI&quot; à bien été renommé en &quot; Identifiant tiers  groupe SG &quot;"/>
    <m/>
    <m/>
    <m/>
    <m/>
    <s v="Trimestriel"/>
    <x v="0"/>
    <x v="0"/>
    <m/>
    <x v="0"/>
    <m/>
  </r>
  <r>
    <s v="CDT038"/>
    <s v="E199"/>
    <s v="RG199-05"/>
    <s v="Identification des écarts / onglet par clien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Identification des écarts / onglet par client d'un arreté Trimestriel"/>
    <s v="Vérifier que le champs :&quot;Numéro DAI client/ Numéro DAI GH »&quot; à bien été renommé en &quot;Identifiant tiers groupe SG client/ GH&quot;"/>
    <m/>
    <m/>
    <s v="Le libéllé trouvé est &quot;Numéro tiers groupe SG client/Numéro groupe GH&quot; . Le libellé attendu est &quot;Numéro tiers group SG client /GH&quot;. (Ce concerter avant d'effectuer la modif, peut être faudrait il harmoniser tous les libéllés)"/>
    <m/>
    <s v="Mois 3"/>
    <x v="0"/>
    <x v="1"/>
    <n v="8"/>
    <x v="1"/>
    <s v="Le libéllé trouvé est &quot;Numéro tiers groupe SG client/Numéro groupe GH&quot; . Le libellé attendu est &quot;Numéro tiers group SG client /GH&quot;. (Ce concerter avant d'effectuer la modif, peut être faudrait il harmoniser tous les libéllés)"/>
  </r>
  <r>
    <s v="CDT039"/>
    <s v="E199"/>
    <s v="RG199-05"/>
    <s v="Consultation / critère 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/ critère  d'un arreté Trimestriel"/>
    <s v="Vérifier que le champs :&quot;Identifiant DAI de la contrepartie&quot; à bien été renommé en &quot;Identifiant tiers groupe SG &quot;"/>
    <m/>
    <m/>
    <m/>
    <m/>
    <s v="Trimestriel"/>
    <x v="0"/>
    <x v="0"/>
    <m/>
    <x v="0"/>
    <m/>
  </r>
  <r>
    <s v="CDT040"/>
    <s v="E199"/>
    <s v="RG199-05"/>
    <s v="Search / Print client lis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Print client list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1"/>
    <s v="E199"/>
    <s v="RG199-05"/>
    <s v="Search / Search / 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 / Search / Criteria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2"/>
    <s v="E199"/>
    <s v="RG199-05"/>
    <s v="General parameters / Functional paramete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General parameters / Functional parameters d'un arreté Monthly"/>
    <s v="Vérifier que le champs :&quot;General DAI identifier&quot; à bien été renommé en &quot;SG group Third party generic Identifier&quot;"/>
    <m/>
    <m/>
    <s v="General SG group Third party identifier"/>
    <m/>
    <s v="Mois 1"/>
    <x v="0"/>
    <x v="2"/>
    <n v="5"/>
    <x v="1"/>
    <s v="Ok pour &quot;General SG group Third party identifier&quot;"/>
  </r>
  <r>
    <s v="CDT043"/>
    <s v="E199"/>
    <s v="RG199-05"/>
    <s v="Data loading / Error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Data loading / Errors d'un arreté Monthly"/>
    <s v="Vérifier que le champs :&quot;DAI referential identifier not defined&quot; à bien été renommé en &quot;SG group Third party referential identifier not defined&quot;"/>
    <m/>
    <m/>
    <m/>
    <s v="47_10_F21_KO.xml"/>
    <s v="Mois 3"/>
    <x v="0"/>
    <x v="0"/>
    <m/>
    <x v="0"/>
    <s v="A noter le message est different : &quot;SG group Third party referential identifier not defined&quot; mais correct. Modification acceptée"/>
  </r>
  <r>
    <s v="CDT044"/>
    <s v="E199"/>
    <s v="RG199-05"/>
    <s v="Update the debt inventory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the debt inventory d'un arreté Monthly"/>
    <s v="Vérifier que le champs :&quot;DAI identifier&quot; à bien été renommé en &quot;SG group Third party Identifier&quot;"/>
    <m/>
    <m/>
    <m/>
    <m/>
    <s v="Mois 3"/>
    <x v="0"/>
    <x v="0"/>
    <m/>
    <x v="0"/>
    <m/>
  </r>
  <r>
    <s v="CDT045"/>
    <s v="E199"/>
    <s v="RG199-05"/>
    <s v="Create and modify debt/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Criteria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6"/>
    <s v="E199"/>
    <s v="RG199-05"/>
    <s v="Create and modify debt/search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reate and modify debt/search/Result d'un arreté Monthly"/>
    <s v="Vérifier que le champs :&quot;DAI identifier&quot; à bien été renommé en &quot;SG group Third party Identifier&quot;"/>
    <m/>
    <m/>
    <m/>
    <m/>
    <s v="Mois 1"/>
    <x v="0"/>
    <x v="0"/>
    <m/>
    <x v="0"/>
    <m/>
  </r>
  <r>
    <s v="CDT047"/>
    <s v="E199"/>
    <s v="RG199-05"/>
    <s v="Update of the expected loss/Tab Error + tab Defect +Process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Update of the expected loss/Tab Error + tab Defect +Process Report d'un arreté Monthly"/>
    <s v="Vérifier que le champs :&quot;DAI identifier&quot; à bien été renommé en &quot;SG group Third party Identifier&quot;"/>
    <m/>
    <m/>
    <m/>
    <m/>
    <s v="Mois 3"/>
    <x v="0"/>
    <x v="1"/>
    <n v="7"/>
    <x v="1"/>
    <s v="En version anglaise, les onglets &quot;Anomalie&quot; et &quot;Erreur&quot; sont tous les deux nommés &quot;Error&quot;. Il faut renommer l'onglet correspondant à anomalie = &quot; Warning&quot;"/>
  </r>
  <r>
    <s v="CDT048"/>
    <s v="E199"/>
    <s v="RG199-05"/>
    <s v="Calculations/Resul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Calculations/Result d'un arreté Monthly"/>
    <s v="Vérifier que le champs :&quot;Dai Number&quot; à bien été renommé en &quot;SG group Third party Identifier customer/HG&quot;"/>
    <s v="Customer SG group Third party number / Homogeneous group SG group Third party number"/>
    <m/>
    <s v="SG group Third party identifier customer/HG"/>
    <m/>
    <s v="Mois 2"/>
    <x v="0"/>
    <x v="1"/>
    <n v="6"/>
    <x v="1"/>
    <s v="On attend plutôt : &quot; SG group Third party number&quot; (Customer est redondant) idem pour l'export csv._x000a_=&gt; obtenu R2 conforme à la spec 2.6"/>
  </r>
  <r>
    <s v="CDT049"/>
    <s v="E199"/>
    <s v="RG199-05"/>
    <s v="Reporting generation/Full Report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Reporting generation/Full Report d'un arreté Monthly"/>
    <s v="Vérifier que le champs :&quot;Dai-id&quot; à bien été renommé en &quot;SG group Third party Identifier&quot;"/>
    <m/>
    <m/>
    <m/>
    <m/>
    <s v="Mois 3"/>
    <x v="0"/>
    <x v="0"/>
    <m/>
    <x v="0"/>
    <m/>
  </r>
  <r>
    <s v="CDT050"/>
    <s v="E199"/>
    <s v="RG199-05"/>
    <s v="Export of debt to Provweb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Export of debt to Provweb d'un arreté Quaterly"/>
    <s v="Vérifier que le champs :&quot;DAI identifier&quot; à bien été renommé en &quot;SG group Third party Identifier&quot;"/>
    <m/>
    <m/>
    <m/>
    <m/>
    <s v="Trimestriel"/>
    <x v="0"/>
    <x v="0"/>
    <m/>
    <x v="0"/>
    <m/>
  </r>
  <r>
    <s v="CDT051"/>
    <s v="E199"/>
    <s v="RG199-05"/>
    <s v="Identification of discrepancies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Identification of discrepancies d'un arreté Quaterly"/>
    <s v="Vérifier que le champs :&quot;Customer DAI number/Homogeneous group DAI number&quot; à bien été renommé en &quot;SG group Third party Identifier customer/HG&quot;"/>
    <m/>
    <m/>
    <s v="SG group Third party identifier customer/HG"/>
    <m/>
    <s v="Mois 3"/>
    <x v="0"/>
    <x v="1"/>
    <n v="9"/>
    <x v="1"/>
    <s v="Le libelllé trouvé est &quot;Customer SG group third party number&quot; à remplacer par : &quot;SG group third party identifier&quot;_x000a_=&gt; obtenu R2 conforme à la spec 2.6"/>
  </r>
  <r>
    <s v="CDT052"/>
    <s v="E199"/>
    <s v="RG199-05"/>
    <s v="Search/Criteria"/>
    <s v="Renommer les champs « Identifiant DAI » dans l’ensemble des champs et états de sortie de l’application avec un terme générique : &quot;Identifiant tiers groupe SG&quot;"/>
    <m/>
    <s v="La langue définie pour l'utilisateur doit être l'anglais._x000a_Naviguer jusqu'à l'étape : Search/Criteria d'un arreté Quaterly"/>
    <s v="Vérifier que le champs :&quot;DAI identifier&quot; à bien été renommé en &quot;SG group Third party Identifier&quot;"/>
    <m/>
    <m/>
    <m/>
    <m/>
    <s v="Trimestriel"/>
    <x v="0"/>
    <x v="0"/>
    <m/>
    <x v="0"/>
    <m/>
  </r>
  <r>
    <s v="CDT053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1_OK.xml"/>
    <s v="Vérifier qu'il n'y a aucune erreur technique lors de l'enregistrement des données des différentes étapes."/>
    <m/>
    <m/>
    <m/>
    <m/>
    <m/>
    <x v="0"/>
    <x v="0"/>
    <m/>
    <x v="0"/>
    <m/>
  </r>
  <r>
    <s v="CDT054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2_OK.xml"/>
    <s v="Vérifier qu'il n'y a aucune erreur technique lors de l'enregistrement des données des différentes étapes."/>
    <m/>
    <m/>
    <m/>
    <m/>
    <m/>
    <x v="0"/>
    <x v="0"/>
    <m/>
    <x v="0"/>
    <m/>
  </r>
  <r>
    <s v="CDT055"/>
    <s v="E199"/>
    <s v="RG199-06"/>
    <m/>
    <s v="Accepter les deux  formats en Base de données et adapter les contrôles de formats dans l’IHM en fonction du type de référentiel chargé :_x000a_• En cas de référentiel de type DAI, les contrôles actuels seront appliqués._x000a_• En cas de référentiel de type RCT, les contrôles ci-dessous devront être appliqués :_x000a_                                   o 3 lettres + 4 chiffres (sans contraintes sur les lettres et les chiffres)"/>
    <m/>
    <s v="Dérouler un run mensuel et trimestriel à partir du fichier 47_10_F3_OK.xml"/>
    <s v="Vérifier qu'il n'y a aucune erreur technique lors de l'enregistrement des données des différentes étapes."/>
    <m/>
    <m/>
    <m/>
    <m/>
    <m/>
    <x v="0"/>
    <x v="0"/>
    <m/>
    <x v="0"/>
    <m/>
  </r>
  <r>
    <s v="CDT056"/>
    <s v="E199"/>
    <s v="RG199-07"/>
    <m/>
    <s v="Pas de modification des arrêtés clôturés : pas de reprise d’historique (pas de remplacement du DAI par un code RCT sur l’historique)."/>
    <m/>
    <s v="Sur la base dans lasquelle à été joué le run trimestriel effectué à partir du fichier 47_10_F3_OK.xml (Balise id-referentiel présente et valorisée a RCT, données RCT et OK ctrl) , consulter les arretés cloturés."/>
    <s v="Vérifier que l'information &quot;id tiers groupe&quot; est bien remontée avec un numéro de DAI"/>
    <m/>
    <m/>
    <m/>
    <m/>
    <m/>
    <x v="0"/>
    <x v="0"/>
    <m/>
    <x v="0"/>
    <m/>
  </r>
  <r>
    <s v="CDT057"/>
    <s v="E199"/>
    <m/>
    <m/>
    <s v="Non Reg"/>
    <m/>
    <s v="Jouer un Run avec un fichier valorisé en RCT"/>
    <s v="Vérifier que les résultats sont conformes avec le même fichier valorisé en DAI (perf, resultat etc..)"/>
    <m/>
    <m/>
    <s v="Problème de perf sur assignation des creances en erreurs en multi selection : Plantage de l'application si l'on tente de selectionner toutes les créances, ou plusieurs créances). Faire des tests complementaires en DAI et RCT, en tentant de selectionner 2, 3 créances, essayer de reproduire sur anciennes versions...._x000a_Reproduit en 4.6.6, pas une regression._x000a_Détail :_x000a_- Afficher la liste des erreurs, selectionner la premiere ligne puis faire Switch fleche vers le bas : plantage de l'application._x000a_- Non reproduit avec switch et clic souris, ni en faisant crtl + A"/>
    <m/>
    <m/>
    <x v="0"/>
    <x v="2"/>
    <n v="3"/>
    <x v="1"/>
    <s v="Problème de perf sur assignation des creances en erreurs en multi selection : Plantage de l'application si l'on tente de selectionner toutes les créances, ou plusieurs créances). Faire des tests complementaires en DAI et RCT, en tentant de selectionner 2, 3 créances, essayer de reproduire sur anciennes versions...._x000a_Reproduit en 4.6.6, pas une regression._x000a_Détail :_x000a_- Afficher la liste des erreurs, selectionner la premiere ligne puis faire Switch fleche vers le bas : plantage de l'application._x000a_- Non reproduit avec switch et clic souris, ni en faisant crtl + A"/>
  </r>
  <r>
    <s v="CDT058"/>
    <s v="E199"/>
    <s v="RG199-05"/>
    <s v="Consultation des créances / 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onsultation des créances / Critère d'un arreté Trimestriel"/>
    <s v="Vérifier que le champs :&quot;Identifiant DAI de la contrepartie&quot; à bien été renommé en &quot; Identifiant tiers groupe SG &quot;"/>
    <m/>
    <m/>
    <m/>
    <m/>
    <s v="Trimestriel"/>
    <x v="0"/>
    <x v="0"/>
    <m/>
    <x v="0"/>
    <m/>
  </r>
  <r>
    <s v="CDT059"/>
    <s v="E199"/>
    <s v="RG199-05"/>
    <s v="Création-modification de créances / Rechercher/Critèr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Critère d'un arreté Trimestriel"/>
    <s v="Vérifier que le champs :&quot;Identifiant DAI&quot; à bien été renommé en &quot;Identifiant tiers groupe SG&quot;"/>
    <m/>
    <m/>
    <m/>
    <m/>
    <s v="Trimestriel"/>
    <x v="0"/>
    <x v="0"/>
    <m/>
    <x v="0"/>
    <m/>
  </r>
  <r>
    <s v="CDT060"/>
    <s v="E199"/>
    <s v="RG199-05"/>
    <s v="Création-modification de créances / Rechercher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réation-modification de créances / Rechercher/résultat d'un arreté Trimestriel"/>
    <s v="Vérifier que le champs :&quot;Identifiant DAI&quot; à bien été renommé en &quot;Identifiant tiers groupe SG&quot;"/>
    <m/>
    <m/>
    <m/>
    <m/>
    <s v="Trimestriel"/>
    <x v="0"/>
    <x v="0"/>
    <m/>
    <x v="0"/>
    <m/>
  </r>
  <r>
    <s v="CDT061"/>
    <s v="E199"/>
    <s v="RG199-05"/>
    <s v="Calculs/résultat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Calculs/résultat d'un arreté Trimestriel"/>
    <s v="Vérifier que le champs :&quot;Numéro DAI&quot; à bien été renommé en &quot;Identifiant tiers groupe SG client/ GH&quot;"/>
    <m/>
    <m/>
    <m/>
    <m/>
    <s v="Trimestriel"/>
    <x v="0"/>
    <x v="0"/>
    <m/>
    <x v="0"/>
    <s v="cf. Ano 4"/>
  </r>
  <r>
    <s v="CDT062"/>
    <s v="E199"/>
    <s v="RG199-05"/>
    <s v="Génération de reporting/Sortie complète"/>
    <s v="Renommer les champs « Identifiant DAI » dans l’ensemble des champs et états de sortie de l’application avec un terme générique : &quot;Identifiant tiers groupe SG&quot;"/>
    <m/>
    <s v="La langue définie pour l'utilisateur doit être le francais._x000a_Naviguer jusqu'à l'étape : Génération de reporting/Sortie complète d'un arreté Trimestriel"/>
    <s v="Vérifier que le champs :&quot;id-dai&quot; à bien été renommé en &quot; Identifiant tiers  groupe SG &quot;"/>
    <m/>
    <m/>
    <m/>
    <m/>
    <s v="Trimestriel"/>
    <x v="0"/>
    <x v="0"/>
    <m/>
    <x v="0"/>
    <s v="cf. Ano 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3" minRefreshableVersion="3" showCalcMbrs="0" useAutoFormatting="1" colGrandTotals="0" itemPrintTitles="1" createdVersion="3" indent="0" outline="1" outlineData="1" multipleFieldFilters="0" chartFormat="1" rowHeaderCaption="N° règles de gestion" colHeaderCaption="Statut Cas de test">
  <location ref="B12:C21" firstHeaderRow="1" firstDataRow="2" firstDataCol="1"/>
  <pivotFields count="18">
    <pivotField dataField="1" showAll="0"/>
    <pivotField showAll="0"/>
    <pivotField axis="axisRow" showAll="0" sortType="ascending">
      <items count="8">
        <item x="0"/>
        <item x="3"/>
        <item x="2"/>
        <item x="1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defaultSubtotal="0">
      <items count="5">
        <item m="1" x="4"/>
        <item h="1" m="1" x="1"/>
        <item m="1" x="3"/>
        <item x="0"/>
        <item m="1" x="2"/>
      </items>
    </pivotField>
    <pivotField showAll="0" defaultSubtotal="0"/>
    <pivotField showAll="0"/>
    <pivotField showAll="0" defaultSubtota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3"/>
  </colFields>
  <colItems count="1">
    <i>
      <x v="3"/>
    </i>
  </colItems>
  <dataFields count="1">
    <dataField name="Nombre de NumCdt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eau croisé dynamique1" cacheId="3" applyNumberFormats="0" applyBorderFormats="0" applyFontFormats="0" applyPatternFormats="0" applyAlignmentFormats="0" applyWidthHeightFormats="1" dataCaption="Valeurs" updatedVersion="3" minRefreshableVersion="3" showCalcMbrs="0" useAutoFormatting="1" itemPrintTitles="1" createdVersion="3" indent="0" outline="1" outlineData="1" multipleFieldFilters="0" chartFormat="3" rowHeaderCaption="Statut Cas de test">
  <location ref="B2:C4" firstHeaderRow="1" firstDataRow="1" firstDataCol="1"/>
  <pivotFields count="18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4">
        <item m="1" x="2"/>
        <item m="1" x="3"/>
        <item x="0"/>
        <item m="1" x="1"/>
      </items>
    </pivotField>
    <pivotField showAll="0" defaultSubtotal="0"/>
    <pivotField showAll="0"/>
    <pivotField showAll="0" defaultSubtotal="0"/>
    <pivotField showAll="0"/>
  </pivotFields>
  <rowFields count="1">
    <field x="13"/>
  </rowFields>
  <rowItems count="2">
    <i>
      <x v="2"/>
    </i>
    <i t="grand">
      <x/>
    </i>
  </rowItems>
  <colItems count="1">
    <i/>
  </colItems>
  <dataFields count="1">
    <dataField name="Nombre de NumCdt" fld="0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eau croisé dynamique3" cacheId="3" applyNumberFormats="0" applyBorderFormats="0" applyFontFormats="0" applyPatternFormats="0" applyAlignmentFormats="0" applyWidthHeightFormats="1" dataCaption="Valeurs" updatedVersion="3" minRefreshableVersion="3" showCalcMbrs="0" useAutoFormatting="1" itemPrintTitles="1" createdVersion="3" indent="0" compact="0" compactData="0" gridDropZones="1" multipleFieldFilters="0" chartFormat="3" rowHeaderCaption="Gravité Anomalies">
  <location ref="L3:N8" firstHeaderRow="2" firstDataRow="2" firstDataCol="2"/>
  <pivotFields count="18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Row" compact="0" outline="0" multipleItemSelectionAllowed="1" showAll="0" defaultSubtotal="0">
      <items count="5">
        <item x="0"/>
        <item m="1" x="4"/>
        <item x="1"/>
        <item m="1" x="3"/>
        <item x="2"/>
      </items>
    </pivotField>
    <pivotField compact="0" outline="0" showAll="0"/>
    <pivotField axis="axisRow" compact="0" outline="0" showAll="0" defaultSubtotal="0">
      <items count="3">
        <item h="1" x="0"/>
        <item x="2"/>
        <item x="1"/>
      </items>
    </pivotField>
    <pivotField compact="0" outline="0" showAll="0"/>
  </pivotFields>
  <rowFields count="2">
    <field x="16"/>
    <field x="14"/>
  </rowFields>
  <rowItems count="4">
    <i>
      <x v="1"/>
      <x v="2"/>
    </i>
    <i>
      <x v="2"/>
      <x v="2"/>
    </i>
    <i r="1">
      <x v="4"/>
    </i>
    <i t="grand">
      <x/>
    </i>
  </rowItems>
  <colItems count="1">
    <i/>
  </colItems>
  <dataFields count="1">
    <dataField name="Nombre de NumCdt" fld="0" subtotal="count" baseField="0" baseItem="0"/>
  </dataFields>
  <formats count="5">
    <format dxfId="4">
      <pivotArea outline="0" collapsedLevelsAreSubtotals="1" fieldPosition="0">
        <references count="2">
          <reference field="14" count="1" selected="0">
            <x v="0"/>
          </reference>
          <reference field="16" count="1" selected="0">
            <x v="0"/>
          </reference>
        </references>
      </pivotArea>
    </format>
    <format dxfId="3">
      <pivotArea dataOnly="0" labelOnly="1" outline="0" fieldPosition="0">
        <references count="1">
          <reference field="16" count="1">
            <x v="0"/>
          </reference>
        </references>
      </pivotArea>
    </format>
    <format dxfId="2">
      <pivotArea dataOnly="0" labelOnly="1" outline="0" fieldPosition="0">
        <references count="2">
          <reference field="14" count="1">
            <x v="0"/>
          </reference>
          <reference field="16" count="1" selected="0">
            <x v="0"/>
          </reference>
        </references>
      </pivotArea>
    </format>
    <format dxfId="1">
      <pivotArea outline="0" collapsedLevelsAreSubtotals="1" fieldPosition="0">
        <references count="2">
          <reference field="14" count="1" selected="0">
            <x v="3"/>
          </reference>
          <reference field="16" count="1" selected="0">
            <x v="2"/>
          </reference>
        </references>
      </pivotArea>
    </format>
    <format dxfId="0">
      <pivotArea dataOnly="0" labelOnly="1" outline="0" fieldPosition="0">
        <references count="2">
          <reference field="14" count="1">
            <x v="3"/>
          </reference>
          <reference field="16" count="1" selected="0">
            <x v="2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14" count="1" selected="0">
            <x v="2"/>
          </reference>
          <reference field="16" count="1" selected="0">
            <x v="2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14" count="1" selected="0">
            <x v="3"/>
          </reference>
          <reference field="16" count="1" selected="0">
            <x v="2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14" count="1" selected="0">
            <x v="4"/>
          </reference>
          <reference field="1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C000"/>
  </sheetPr>
  <dimension ref="A1:O1048573"/>
  <sheetViews>
    <sheetView tabSelected="1" defaultGridColor="0" colorId="46" workbookViewId="0">
      <pane xSplit="1" ySplit="1" topLeftCell="B2" activePane="bottomRight" state="frozenSplit"/>
      <selection pane="topRight" activeCell="D1" sqref="D1"/>
      <selection pane="bottomLeft" activeCell="A17" sqref="A17"/>
      <selection pane="bottomRight" activeCell="F2" sqref="F2"/>
    </sheetView>
  </sheetViews>
  <sheetFormatPr baseColWidth="10" defaultRowHeight="15" x14ac:dyDescent="0.25"/>
  <cols>
    <col min="1" max="1" width="7.28515625" style="26" customWidth="1"/>
    <col min="2" max="2" width="21.42578125" style="26" customWidth="1"/>
    <col min="3" max="3" width="14.7109375" style="26" customWidth="1"/>
    <col min="4" max="4" width="22.7109375" style="26" bestFit="1" customWidth="1"/>
    <col min="5" max="5" width="18" style="26" customWidth="1"/>
    <col min="6" max="6" width="33.140625" style="26" customWidth="1"/>
    <col min="7" max="7" width="24.42578125" style="26" customWidth="1"/>
    <col min="8" max="8" width="13.140625" style="26" customWidth="1"/>
    <col min="9" max="9" width="10.42578125" style="26" customWidth="1"/>
    <col min="10" max="10" width="14.7109375" style="26" customWidth="1"/>
    <col min="11" max="11" width="12.140625" style="26" bestFit="1" customWidth="1"/>
    <col min="12" max="12" width="18" style="26" customWidth="1"/>
    <col min="13" max="13" width="18" style="37" customWidth="1"/>
    <col min="14" max="14" width="19.140625" style="32" bestFit="1" customWidth="1"/>
    <col min="15" max="16384" width="11.42578125" style="10"/>
  </cols>
  <sheetData>
    <row r="1" spans="1:14" s="23" customFormat="1" ht="30" x14ac:dyDescent="0.25">
      <c r="A1" s="11" t="s">
        <v>0</v>
      </c>
      <c r="B1" s="11" t="s">
        <v>488</v>
      </c>
      <c r="C1" s="11" t="s">
        <v>481</v>
      </c>
      <c r="D1" s="11" t="s">
        <v>405</v>
      </c>
      <c r="E1" s="11" t="s">
        <v>483</v>
      </c>
      <c r="F1" s="11" t="s">
        <v>401</v>
      </c>
      <c r="G1" s="11" t="s">
        <v>406</v>
      </c>
      <c r="H1" s="11" t="s">
        <v>402</v>
      </c>
      <c r="I1" s="11" t="s">
        <v>416</v>
      </c>
      <c r="J1" s="11" t="s">
        <v>435</v>
      </c>
      <c r="K1" s="11" t="s">
        <v>434</v>
      </c>
      <c r="L1" s="11" t="s">
        <v>404</v>
      </c>
      <c r="M1" s="11" t="s">
        <v>429</v>
      </c>
      <c r="N1" s="11" t="s">
        <v>422</v>
      </c>
    </row>
    <row r="2" spans="1:14" ht="135" x14ac:dyDescent="0.25">
      <c r="A2" s="1" t="str">
        <f>listeVal!A2</f>
        <v>CDT001</v>
      </c>
      <c r="B2" s="38" t="s">
        <v>536</v>
      </c>
      <c r="C2" s="1"/>
      <c r="D2" s="1" t="s">
        <v>535</v>
      </c>
      <c r="E2" s="1"/>
      <c r="F2" s="1"/>
      <c r="G2" s="1"/>
      <c r="H2" s="1"/>
      <c r="I2" s="1"/>
      <c r="J2" s="2" t="s">
        <v>407</v>
      </c>
      <c r="K2" s="2"/>
      <c r="L2" s="1"/>
      <c r="M2" s="1"/>
      <c r="N2" s="25"/>
    </row>
    <row r="3" spans="1:14" ht="45" x14ac:dyDescent="0.25">
      <c r="A3" s="1" t="str">
        <f>listeVal!A3</f>
        <v>CDT002</v>
      </c>
      <c r="B3" s="1" t="s">
        <v>489</v>
      </c>
      <c r="C3" s="1" t="s">
        <v>482</v>
      </c>
      <c r="D3" s="1"/>
      <c r="E3" s="1" t="s">
        <v>484</v>
      </c>
      <c r="F3" s="1" t="s">
        <v>487</v>
      </c>
      <c r="G3" s="1"/>
      <c r="H3" s="1"/>
      <c r="I3" s="7"/>
      <c r="J3" s="2" t="s">
        <v>407</v>
      </c>
      <c r="K3" s="9"/>
      <c r="L3" s="8"/>
      <c r="M3" s="9"/>
      <c r="N3" s="7"/>
    </row>
    <row r="4" spans="1:14" ht="195" x14ac:dyDescent="0.25">
      <c r="A4" s="1" t="str">
        <f>listeVal!A4</f>
        <v>CDT003</v>
      </c>
      <c r="B4" s="1" t="s">
        <v>489</v>
      </c>
      <c r="C4" s="1" t="s">
        <v>538</v>
      </c>
      <c r="D4" s="1" t="str">
        <f>"Naviguer jusqu'à l'étape """&amp;C4&amp;""" et selectionner le paramètre nom de la filiale puis saisir :
- Pour la version production : Référence
- Pour la version cible : Cible
Puis valider la modification."</f>
        <v>Naviguer jusqu'à l'étape "Administration / Paramètres generaux / Paramètres techniques" et selectionner le paramètre nom de la filiale puis saisir :
- Pour la version production : Référence
- Pour la version cible : Cible
Puis valider la modification.</v>
      </c>
      <c r="E4" s="1"/>
      <c r="F4" s="1" t="s">
        <v>497</v>
      </c>
      <c r="G4" s="1"/>
      <c r="H4" s="1"/>
      <c r="I4" s="7"/>
      <c r="J4" s="2" t="s">
        <v>407</v>
      </c>
      <c r="K4" s="9"/>
      <c r="L4" s="8"/>
      <c r="M4" s="9"/>
      <c r="N4" s="7"/>
    </row>
    <row r="5" spans="1:14" ht="90" x14ac:dyDescent="0.25">
      <c r="A5" s="1" t="str">
        <f>listeVal!A5</f>
        <v>CDT004</v>
      </c>
      <c r="B5" s="1" t="s">
        <v>489</v>
      </c>
      <c r="C5" s="1" t="s">
        <v>470</v>
      </c>
      <c r="D5" s="1" t="str">
        <f>("Naviguer jusqu'au traitement mensuel et selectionner l'étape """&amp;C5&amp;""" puis cliquez sur le bouton ""Ouvrir")</f>
        <v>Naviguer jusqu'au traitement mensuel et selectionner l'étape "Ouverture du mois " puis cliquez sur le bouton "Ouvrir</v>
      </c>
      <c r="E5" s="1" t="s">
        <v>484</v>
      </c>
      <c r="F5" s="1" t="s">
        <v>490</v>
      </c>
      <c r="G5" s="1"/>
      <c r="H5" s="1"/>
      <c r="I5" s="7" t="s">
        <v>419</v>
      </c>
      <c r="J5" s="2" t="s">
        <v>407</v>
      </c>
      <c r="K5" s="9"/>
      <c r="L5" s="7"/>
      <c r="M5" s="9"/>
      <c r="N5" s="7"/>
    </row>
    <row r="6" spans="1:14" ht="120" x14ac:dyDescent="0.25">
      <c r="A6" s="1" t="str">
        <f>listeVal!A6</f>
        <v>CDT005</v>
      </c>
      <c r="B6" s="1" t="s">
        <v>489</v>
      </c>
      <c r="C6" s="1" t="s">
        <v>450</v>
      </c>
      <c r="D6" s="1" t="str">
        <f>("Naviguer jusqu'au traitement mensuel et selectionner l'étape """&amp;C6&amp;""" et cliquer sur le bouton parcouvir puis sélectionner le fichier du mois")</f>
        <v>Naviguer jusqu'au traitement mensuel et selectionner l'étape "Chargement des données" et cliquer sur le bouton parcouvir puis sélectionner le fichier du mois</v>
      </c>
      <c r="E6" s="1" t="s">
        <v>484</v>
      </c>
      <c r="F6" s="1" t="s">
        <v>491</v>
      </c>
      <c r="G6" s="1"/>
      <c r="H6" s="1"/>
      <c r="I6" s="7" t="s">
        <v>419</v>
      </c>
      <c r="J6" s="2" t="s">
        <v>407</v>
      </c>
      <c r="K6" s="9"/>
      <c r="L6" s="7"/>
      <c r="M6" s="9"/>
      <c r="N6" s="7"/>
    </row>
    <row r="7" spans="1:14" ht="45" x14ac:dyDescent="0.25">
      <c r="A7" s="1" t="str">
        <f>listeVal!A7</f>
        <v>CDT006</v>
      </c>
      <c r="B7" s="1" t="s">
        <v>489</v>
      </c>
      <c r="C7" s="1" t="s">
        <v>450</v>
      </c>
      <c r="D7" s="1" t="s">
        <v>492</v>
      </c>
      <c r="E7" s="1" t="s">
        <v>484</v>
      </c>
      <c r="F7" s="1" t="s">
        <v>493</v>
      </c>
      <c r="G7" s="1"/>
      <c r="H7" s="1"/>
      <c r="I7" s="7" t="s">
        <v>419</v>
      </c>
      <c r="J7" s="2" t="s">
        <v>407</v>
      </c>
      <c r="K7" s="9"/>
      <c r="L7" s="7"/>
      <c r="M7" s="9"/>
      <c r="N7" s="7"/>
    </row>
    <row r="8" spans="1:14" ht="75" x14ac:dyDescent="0.25">
      <c r="A8" s="1" t="str">
        <f>listeVal!A8</f>
        <v>CDT007</v>
      </c>
      <c r="B8" s="1" t="s">
        <v>489</v>
      </c>
      <c r="C8" s="1" t="s">
        <v>450</v>
      </c>
      <c r="D8" s="1" t="s">
        <v>495</v>
      </c>
      <c r="E8" s="1" t="s">
        <v>484</v>
      </c>
      <c r="F8" s="1" t="s">
        <v>494</v>
      </c>
      <c r="G8" s="1"/>
      <c r="H8" s="1"/>
      <c r="I8" s="7" t="s">
        <v>419</v>
      </c>
      <c r="J8" s="2" t="s">
        <v>407</v>
      </c>
      <c r="K8" s="9"/>
      <c r="L8" s="7"/>
      <c r="M8" s="9"/>
      <c r="N8" s="7"/>
    </row>
    <row r="9" spans="1:14" ht="45" x14ac:dyDescent="0.25">
      <c r="A9" s="1" t="str">
        <f>listeVal!A9</f>
        <v>CDT008</v>
      </c>
      <c r="B9" s="1" t="s">
        <v>489</v>
      </c>
      <c r="C9" s="1" t="s">
        <v>450</v>
      </c>
      <c r="D9" s="1" t="s">
        <v>498</v>
      </c>
      <c r="E9" s="1" t="s">
        <v>484</v>
      </c>
      <c r="F9" s="1" t="s">
        <v>499</v>
      </c>
      <c r="G9" s="1"/>
      <c r="H9" s="1"/>
      <c r="I9" s="7" t="s">
        <v>419</v>
      </c>
      <c r="J9" s="2" t="s">
        <v>407</v>
      </c>
      <c r="K9" s="9"/>
      <c r="L9" s="7"/>
      <c r="M9" s="9"/>
      <c r="N9" s="7"/>
    </row>
    <row r="10" spans="1:14" ht="90" x14ac:dyDescent="0.25">
      <c r="A10" s="1" t="str">
        <f>listeVal!A10</f>
        <v>CDT009</v>
      </c>
      <c r="B10" s="1" t="s">
        <v>489</v>
      </c>
      <c r="C10" s="1" t="s">
        <v>450</v>
      </c>
      <c r="D10" s="1" t="s">
        <v>496</v>
      </c>
      <c r="E10" s="1" t="s">
        <v>484</v>
      </c>
      <c r="F10" s="1" t="s">
        <v>501</v>
      </c>
      <c r="G10" s="1"/>
      <c r="H10" s="1"/>
      <c r="I10" s="7" t="s">
        <v>419</v>
      </c>
      <c r="J10" s="2" t="s">
        <v>407</v>
      </c>
      <c r="K10" s="9"/>
      <c r="L10" s="7"/>
      <c r="M10" s="9"/>
      <c r="N10" s="7"/>
    </row>
    <row r="11" spans="1:14" ht="30" x14ac:dyDescent="0.25">
      <c r="A11" s="1" t="str">
        <f>listeVal!A11</f>
        <v>CDT010</v>
      </c>
      <c r="B11" s="1" t="s">
        <v>489</v>
      </c>
      <c r="C11" s="1" t="s">
        <v>450</v>
      </c>
      <c r="D11" s="1" t="s">
        <v>500</v>
      </c>
      <c r="E11" s="1" t="s">
        <v>484</v>
      </c>
      <c r="F11" s="1" t="str">
        <f>"L'étape """&amp;C12&amp;""" est accéssible."</f>
        <v>L'étape "Mise à jour du stock de créances" est accéssible.</v>
      </c>
      <c r="G11" s="7"/>
      <c r="H11" s="1"/>
      <c r="I11" s="7" t="s">
        <v>419</v>
      </c>
      <c r="J11" s="2" t="s">
        <v>407</v>
      </c>
      <c r="K11" s="9"/>
      <c r="L11" s="7"/>
      <c r="M11" s="9"/>
      <c r="N11" s="7"/>
    </row>
    <row r="12" spans="1:14" ht="60" x14ac:dyDescent="0.25">
      <c r="A12" s="1" t="str">
        <f>listeVal!A12</f>
        <v>CDT011</v>
      </c>
      <c r="B12" s="1" t="s">
        <v>489</v>
      </c>
      <c r="C12" s="1" t="s">
        <v>459</v>
      </c>
      <c r="D12" s="1" t="str">
        <f>"Selectionner l'étape """&amp;C12&amp;""" et cliquer sur le bouton comparer."</f>
        <v>Selectionner l'étape "Mise à jour du stock de créances" et cliquer sur le bouton comparer.</v>
      </c>
      <c r="E12" s="1" t="s">
        <v>484</v>
      </c>
      <c r="F12" s="1" t="s">
        <v>502</v>
      </c>
      <c r="G12" s="7"/>
      <c r="H12" s="1"/>
      <c r="I12" s="7" t="s">
        <v>419</v>
      </c>
      <c r="J12" s="2" t="s">
        <v>407</v>
      </c>
      <c r="K12" s="9"/>
      <c r="L12" s="7"/>
      <c r="M12" s="9"/>
      <c r="N12" s="7"/>
    </row>
    <row r="13" spans="1:14" ht="45" x14ac:dyDescent="0.25">
      <c r="A13" s="1" t="str">
        <f>listeVal!A13</f>
        <v>CDT012</v>
      </c>
      <c r="B13" s="1" t="s">
        <v>489</v>
      </c>
      <c r="C13" s="1" t="s">
        <v>459</v>
      </c>
      <c r="D13" s="1" t="s">
        <v>503</v>
      </c>
      <c r="E13" s="1" t="s">
        <v>484</v>
      </c>
      <c r="F13" s="1" t="s">
        <v>504</v>
      </c>
      <c r="G13" s="7"/>
      <c r="H13" s="1"/>
      <c r="I13" s="7" t="s">
        <v>419</v>
      </c>
      <c r="J13" s="2" t="s">
        <v>407</v>
      </c>
      <c r="K13" s="9"/>
      <c r="L13" s="7"/>
      <c r="M13" s="9"/>
      <c r="N13" s="7"/>
    </row>
    <row r="14" spans="1:14" ht="45" x14ac:dyDescent="0.25">
      <c r="A14" s="1" t="str">
        <f>listeVal!A14</f>
        <v>CDT013</v>
      </c>
      <c r="B14" s="1" t="s">
        <v>489</v>
      </c>
      <c r="C14" s="1" t="s">
        <v>459</v>
      </c>
      <c r="D14" s="1" t="s">
        <v>505</v>
      </c>
      <c r="E14" s="1" t="s">
        <v>484</v>
      </c>
      <c r="F14" s="1" t="str">
        <f>"L'étape """&amp;C15&amp;""" est accéssible."</f>
        <v>L'étape "Détermination du mode de traitement des créances" est accéssible.</v>
      </c>
      <c r="G14" s="7"/>
      <c r="H14" s="1"/>
      <c r="I14" s="7" t="s">
        <v>419</v>
      </c>
      <c r="J14" s="2" t="s">
        <v>407</v>
      </c>
      <c r="K14" s="9"/>
      <c r="L14" s="7"/>
      <c r="M14" s="9"/>
      <c r="N14" s="7"/>
    </row>
    <row r="15" spans="1:14" ht="75" x14ac:dyDescent="0.25">
      <c r="A15" s="1" t="str">
        <f>listeVal!A15</f>
        <v>CDT014</v>
      </c>
      <c r="B15" s="1" t="s">
        <v>489</v>
      </c>
      <c r="C15" s="1" t="s">
        <v>460</v>
      </c>
      <c r="D15" s="1" t="str">
        <f>"Selectionner l'étape """&amp;C15&amp;""" et cliquer sur le bouton Executer."</f>
        <v>Selectionner l'étape "Détermination du mode de traitement des créances" et cliquer sur le bouton Executer.</v>
      </c>
      <c r="E15" s="1" t="s">
        <v>484</v>
      </c>
      <c r="F15" s="1" t="s">
        <v>506</v>
      </c>
      <c r="G15" s="7"/>
      <c r="H15" s="1"/>
      <c r="I15" s="7" t="s">
        <v>419</v>
      </c>
      <c r="J15" s="2" t="s">
        <v>407</v>
      </c>
      <c r="K15" s="9"/>
      <c r="L15" s="7"/>
      <c r="M15" s="9"/>
      <c r="N15" s="7"/>
    </row>
    <row r="16" spans="1:14" ht="60" x14ac:dyDescent="0.25">
      <c r="A16" s="1" t="str">
        <f>listeVal!A16</f>
        <v>CDT015</v>
      </c>
      <c r="B16" s="1" t="s">
        <v>489</v>
      </c>
      <c r="C16" s="1" t="s">
        <v>460</v>
      </c>
      <c r="D16" s="1" t="s">
        <v>507</v>
      </c>
      <c r="E16" s="1" t="s">
        <v>484</v>
      </c>
      <c r="F16" s="1" t="str">
        <f>"L'étape """&amp;C17&amp;" est accéssible.
Les informations des deux fichiers enregistrés sont identiques."</f>
        <v>L'étape "Attribution d'échéanciers est accéssible.
Les informations des deux fichiers enregistrés sont identiques.</v>
      </c>
      <c r="G16" s="7"/>
      <c r="H16" s="1"/>
      <c r="I16" s="7" t="s">
        <v>419</v>
      </c>
      <c r="J16" s="2" t="s">
        <v>407</v>
      </c>
      <c r="K16" s="9"/>
      <c r="L16" s="7"/>
      <c r="M16" s="9"/>
      <c r="N16" s="7"/>
    </row>
    <row r="17" spans="1:14" ht="90" x14ac:dyDescent="0.25">
      <c r="A17" s="1" t="str">
        <f>listeVal!A17</f>
        <v>CDT016</v>
      </c>
      <c r="B17" s="1" t="s">
        <v>489</v>
      </c>
      <c r="C17" s="1" t="s">
        <v>463</v>
      </c>
      <c r="D17" s="1" t="s">
        <v>508</v>
      </c>
      <c r="E17" s="1" t="s">
        <v>484</v>
      </c>
      <c r="F17" s="1" t="str">
        <f>"Vérifier que l'on à le même nombre de créance sur chaque instance."&amp;CHAR(10)&amp;" L'étape """&amp;C18&amp;""" est accéssible"</f>
        <v>Vérifier que l'on à le même nombre de créance sur chaque instance.
 L'étape "Calculs" est accéssible</v>
      </c>
      <c r="G17" s="7"/>
      <c r="H17" s="1"/>
      <c r="I17" s="7" t="s">
        <v>419</v>
      </c>
      <c r="J17" s="2" t="s">
        <v>407</v>
      </c>
      <c r="K17" s="9"/>
      <c r="L17" s="7"/>
      <c r="M17" s="9"/>
      <c r="N17" s="7"/>
    </row>
    <row r="18" spans="1:14" ht="90" x14ac:dyDescent="0.25">
      <c r="A18" s="1" t="str">
        <f>listeVal!A18</f>
        <v>CDT017</v>
      </c>
      <c r="B18" s="1" t="s">
        <v>489</v>
      </c>
      <c r="C18" s="1" t="s">
        <v>464</v>
      </c>
      <c r="D18" s="1" t="s">
        <v>509</v>
      </c>
      <c r="E18" s="1" t="s">
        <v>484</v>
      </c>
      <c r="F18" s="1" t="str">
        <f>"Vérifier que les fichiers produits sur chacune des instances contiennent les mêmes données."&amp;CHAR(10)&amp;"L'étape """&amp;C19&amp;""" est accéssible."</f>
        <v>Vérifier que les fichiers produits sur chacune des instances contiennent les mêmes données.
L'étape "Validation " est accéssible.</v>
      </c>
      <c r="G18" s="7"/>
      <c r="H18" s="1"/>
      <c r="I18" s="7" t="s">
        <v>419</v>
      </c>
      <c r="J18" s="2" t="s">
        <v>407</v>
      </c>
      <c r="K18" s="9"/>
      <c r="L18" s="7"/>
      <c r="M18" s="9"/>
      <c r="N18" s="7"/>
    </row>
    <row r="19" spans="1:14" ht="45" x14ac:dyDescent="0.25">
      <c r="A19" s="1" t="str">
        <f>listeVal!A19</f>
        <v>CDT018</v>
      </c>
      <c r="B19" s="1" t="s">
        <v>489</v>
      </c>
      <c r="C19" s="1" t="s">
        <v>465</v>
      </c>
      <c r="D19" s="1" t="s">
        <v>511</v>
      </c>
      <c r="E19" s="1" t="s">
        <v>484</v>
      </c>
      <c r="F19" s="1" t="s">
        <v>512</v>
      </c>
      <c r="G19" s="7"/>
      <c r="H19" s="1"/>
      <c r="I19" s="7" t="s">
        <v>419</v>
      </c>
      <c r="J19" s="2" t="s">
        <v>407</v>
      </c>
      <c r="K19" s="9"/>
      <c r="L19" s="7"/>
      <c r="M19" s="9"/>
      <c r="N19" s="7"/>
    </row>
    <row r="20" spans="1:14" ht="45" x14ac:dyDescent="0.25">
      <c r="A20" s="1" t="str">
        <f>listeVal!A20</f>
        <v>CDT019</v>
      </c>
      <c r="B20" s="1" t="s">
        <v>489</v>
      </c>
      <c r="C20" s="1" t="s">
        <v>466</v>
      </c>
      <c r="D20" s="1" t="s">
        <v>513</v>
      </c>
      <c r="E20" s="1" t="s">
        <v>484</v>
      </c>
      <c r="F20" s="1" t="s">
        <v>510</v>
      </c>
      <c r="G20" s="7"/>
      <c r="H20" s="1"/>
      <c r="I20" s="7" t="s">
        <v>419</v>
      </c>
      <c r="J20" s="2" t="s">
        <v>407</v>
      </c>
      <c r="K20" s="9"/>
      <c r="L20" s="7"/>
      <c r="M20" s="9"/>
      <c r="N20" s="7"/>
    </row>
    <row r="21" spans="1:14" ht="60" x14ac:dyDescent="0.25">
      <c r="A21" s="1" t="str">
        <f>listeVal!A21</f>
        <v>CDT020</v>
      </c>
      <c r="B21" s="1" t="s">
        <v>489</v>
      </c>
      <c r="C21" s="1" t="s">
        <v>467</v>
      </c>
      <c r="D21" s="1" t="str">
        <f>"Naviguer jusqu'à l'étape """&amp;C21&amp;""" et cliquer sur le bouton Clôturer"</f>
        <v>Naviguer jusqu'à l'étape "Clôture du mois" et cliquer sur le bouton Clôturer</v>
      </c>
      <c r="E21" s="1" t="s">
        <v>484</v>
      </c>
      <c r="F21" s="1" t="str">
        <f>"Le traitement mensuel du M2 et le traitement trimestriel apparaissent dans l'étape """&amp;C22&amp;""""</f>
        <v>Le traitement mensuel du M2 et le traitement trimestriel apparaissent dans l'étape "Sélection d'un arrêté"</v>
      </c>
      <c r="G21" s="7"/>
      <c r="H21" s="1"/>
      <c r="I21" s="7" t="s">
        <v>419</v>
      </c>
      <c r="J21" s="2" t="s">
        <v>407</v>
      </c>
      <c r="K21" s="9"/>
      <c r="L21" s="7"/>
      <c r="M21" s="9"/>
      <c r="N21" s="7"/>
    </row>
    <row r="22" spans="1:14" ht="90" x14ac:dyDescent="0.25">
      <c r="A22" s="1" t="str">
        <f>listeVal!A22</f>
        <v>CDT021</v>
      </c>
      <c r="B22" s="1" t="s">
        <v>489</v>
      </c>
      <c r="C22" s="1" t="s">
        <v>458</v>
      </c>
      <c r="D22" s="1" t="s">
        <v>514</v>
      </c>
      <c r="E22" s="1" t="s">
        <v>484</v>
      </c>
      <c r="F22" s="1" t="str">
        <f>"L'étape """&amp;C23&amp;""" est accéssible"</f>
        <v>L'étape "Ouverture du trimestre" est accéssible</v>
      </c>
      <c r="G22" s="7"/>
      <c r="H22" s="1"/>
      <c r="I22" s="7" t="s">
        <v>418</v>
      </c>
      <c r="J22" s="2" t="s">
        <v>407</v>
      </c>
      <c r="K22" s="9"/>
      <c r="L22" s="7"/>
      <c r="M22" s="9"/>
      <c r="N22" s="7"/>
    </row>
    <row r="23" spans="1:14" ht="90" x14ac:dyDescent="0.25">
      <c r="A23" s="1" t="str">
        <f>listeVal!A23</f>
        <v>CDT022</v>
      </c>
      <c r="B23" s="1" t="s">
        <v>489</v>
      </c>
      <c r="C23" s="1" t="s">
        <v>471</v>
      </c>
      <c r="D23" s="1" t="str">
        <f>("Naviguer jusqu'au traitement mensuel et selectionner l'étape """&amp;C23&amp;""" puis cliquez sur le bouton ""Ouvrir")</f>
        <v>Naviguer jusqu'au traitement mensuel et selectionner l'étape "Ouverture du trimestre" puis cliquez sur le bouton "Ouvrir</v>
      </c>
      <c r="E23" s="1" t="s">
        <v>484</v>
      </c>
      <c r="F23" s="1" t="str">
        <f>"L'Etape """&amp;C24&amp;""" est dégrisée. Dans le menu Sélection d'un arrêté le statut de l'arrêté passe à En cours"</f>
        <v>L'Etape "Attribution d'échéanciers" est dégrisée. Dans le menu Sélection d'un arrêté le statut de l'arrêté passe à En cours</v>
      </c>
      <c r="G23" s="7"/>
      <c r="H23" s="1"/>
      <c r="I23" s="7" t="s">
        <v>418</v>
      </c>
      <c r="J23" s="2" t="s">
        <v>407</v>
      </c>
      <c r="K23" s="9"/>
      <c r="L23" s="7"/>
      <c r="M23" s="9"/>
      <c r="N23" s="7"/>
    </row>
    <row r="24" spans="1:14" ht="45" x14ac:dyDescent="0.25">
      <c r="A24" s="1" t="str">
        <f>listeVal!A24</f>
        <v>CDT023</v>
      </c>
      <c r="B24" s="1" t="s">
        <v>489</v>
      </c>
      <c r="C24" s="1" t="s">
        <v>463</v>
      </c>
      <c r="D24" s="1" t="str">
        <f>"Valider l'étape """&amp;C24&amp;""""</f>
        <v>Valider l'étape "Attribution d'échéanciers"</v>
      </c>
      <c r="E24" s="1" t="s">
        <v>484</v>
      </c>
      <c r="F24" s="1" t="str">
        <f>"L'étape """&amp;C25&amp;""" est accéssible"</f>
        <v>L'étape "Validation des échéanciers" est accéssible</v>
      </c>
      <c r="G24" s="7"/>
      <c r="H24" s="1"/>
      <c r="I24" s="7" t="s">
        <v>418</v>
      </c>
      <c r="J24" s="2" t="s">
        <v>407</v>
      </c>
      <c r="K24" s="9"/>
      <c r="L24" s="7"/>
      <c r="M24" s="9"/>
      <c r="N24" s="7"/>
    </row>
    <row r="25" spans="1:14" ht="45" x14ac:dyDescent="0.25">
      <c r="A25" s="1" t="str">
        <f>listeVal!A25</f>
        <v>CDT024</v>
      </c>
      <c r="B25" s="1" t="s">
        <v>489</v>
      </c>
      <c r="C25" s="1" t="s">
        <v>469</v>
      </c>
      <c r="D25" s="1" t="str">
        <f>"Valider l'étape """&amp;C25&amp;""""</f>
        <v>Valider l'étape "Validation des échéanciers"</v>
      </c>
      <c r="E25" s="1" t="s">
        <v>484</v>
      </c>
      <c r="F25" s="1" t="str">
        <f>"L'étape """&amp;C26&amp;""" est accéssible"</f>
        <v>L'étape "Calculs" est accéssible</v>
      </c>
      <c r="G25" s="7"/>
      <c r="H25" s="1"/>
      <c r="I25" s="7" t="s">
        <v>418</v>
      </c>
      <c r="J25" s="2" t="s">
        <v>407</v>
      </c>
      <c r="K25" s="9"/>
      <c r="L25" s="7"/>
      <c r="M25" s="9"/>
      <c r="N25" s="7"/>
    </row>
    <row r="26" spans="1:14" ht="90" x14ac:dyDescent="0.25">
      <c r="A26" s="1" t="str">
        <f>listeVal!A26</f>
        <v>CDT025</v>
      </c>
      <c r="B26" s="1" t="s">
        <v>489</v>
      </c>
      <c r="C26" s="1" t="s">
        <v>464</v>
      </c>
      <c r="D26" s="1" t="s">
        <v>509</v>
      </c>
      <c r="E26" s="1" t="s">
        <v>484</v>
      </c>
      <c r="F26" s="1" t="str">
        <f>"Vérifier que les fichiers produits sur chacune des instances contiennent les mêmes données."&amp;CHAR(10)&amp;"L'étape """&amp;C27&amp;""" est accéssible."</f>
        <v>Vérifier que les fichiers produits sur chacune des instances contiennent les mêmes données.
L'étape "Exportation de créances vers Provweb" est accéssible.</v>
      </c>
      <c r="G26" s="7"/>
      <c r="H26" s="1"/>
      <c r="I26" s="7" t="s">
        <v>418</v>
      </c>
      <c r="J26" s="2" t="s">
        <v>407</v>
      </c>
      <c r="K26" s="9"/>
      <c r="L26" s="7"/>
      <c r="M26" s="9"/>
      <c r="N26" s="7"/>
    </row>
    <row r="27" spans="1:14" ht="60" x14ac:dyDescent="0.25">
      <c r="A27" s="1" t="str">
        <f>listeVal!A27</f>
        <v>CDT026</v>
      </c>
      <c r="B27" s="1" t="s">
        <v>489</v>
      </c>
      <c r="C27" s="1" t="s">
        <v>519</v>
      </c>
      <c r="D27" s="1" t="s">
        <v>515</v>
      </c>
      <c r="E27" s="1" t="s">
        <v>484</v>
      </c>
      <c r="F27" s="1" t="s">
        <v>518</v>
      </c>
      <c r="G27" s="7"/>
      <c r="H27" s="1"/>
      <c r="I27" s="7" t="s">
        <v>418</v>
      </c>
      <c r="J27" s="2" t="s">
        <v>407</v>
      </c>
      <c r="K27" s="9"/>
      <c r="L27" s="7"/>
      <c r="M27" s="9"/>
      <c r="N27" s="7"/>
    </row>
    <row r="28" spans="1:14" ht="75" x14ac:dyDescent="0.25">
      <c r="A28" s="1" t="str">
        <f>listeVal!A28</f>
        <v>CDT027</v>
      </c>
      <c r="B28" s="1" t="s">
        <v>489</v>
      </c>
      <c r="C28" s="1" t="s">
        <v>516</v>
      </c>
      <c r="D28" s="1" t="s">
        <v>517</v>
      </c>
      <c r="E28" s="1" t="s">
        <v>484</v>
      </c>
      <c r="F28" s="1" t="str">
        <f>"L'étape """&amp;C29&amp;""" est accéssible"</f>
        <v>L'étape "Importation des modifications de Provweb" est accéssible</v>
      </c>
      <c r="G28" s="7"/>
      <c r="H28" s="1"/>
      <c r="I28" s="7" t="s">
        <v>418</v>
      </c>
      <c r="J28" s="2" t="s">
        <v>407</v>
      </c>
      <c r="K28" s="9"/>
      <c r="L28" s="7"/>
      <c r="M28" s="9"/>
      <c r="N28" s="7"/>
    </row>
    <row r="29" spans="1:14" ht="60" x14ac:dyDescent="0.25">
      <c r="A29" s="1" t="str">
        <f>listeVal!A29</f>
        <v>CDT028</v>
      </c>
      <c r="B29" s="1" t="s">
        <v>489</v>
      </c>
      <c r="C29" s="1" t="s">
        <v>520</v>
      </c>
      <c r="D29" s="1" t="s">
        <v>511</v>
      </c>
      <c r="E29" s="1" t="s">
        <v>484</v>
      </c>
      <c r="F29" s="1" t="str">
        <f>"L'étape """&amp;C30&amp;""" est accéssible"</f>
        <v>L'étape "Calculs (suite aux notifications)" est accéssible</v>
      </c>
      <c r="G29" s="7"/>
      <c r="H29" s="1"/>
      <c r="I29" s="7" t="s">
        <v>418</v>
      </c>
      <c r="J29" s="2" t="s">
        <v>407</v>
      </c>
      <c r="K29" s="9"/>
      <c r="L29" s="7"/>
      <c r="M29" s="9"/>
      <c r="N29" s="7"/>
    </row>
    <row r="30" spans="1:14" ht="90" x14ac:dyDescent="0.25">
      <c r="A30" s="1" t="str">
        <f>listeVal!A30</f>
        <v>CDT029</v>
      </c>
      <c r="B30" s="7" t="s">
        <v>489</v>
      </c>
      <c r="C30" s="7" t="s">
        <v>472</v>
      </c>
      <c r="D30" s="1" t="s">
        <v>509</v>
      </c>
      <c r="E30" s="7"/>
      <c r="F30" s="7" t="str">
        <f>"Vérifier que les fichiers produits sur chacune des instances contiennent les mêmes données."&amp;CHAR(10)&amp;"Les fichiers Bale2 et sortie complète sont accéssibles dans l'étape """&amp;C31&amp;""""</f>
        <v>Vérifier que les fichiers produits sur chacune des instances contiennent les mêmes données.
Les fichiers Bale2 et sortie complète sont accéssibles dans l'étape "Génération du reporting"</v>
      </c>
      <c r="G30" s="7"/>
      <c r="H30" s="7"/>
      <c r="I30" s="7" t="s">
        <v>418</v>
      </c>
      <c r="J30" s="2" t="s">
        <v>407</v>
      </c>
      <c r="K30" s="9"/>
      <c r="L30" s="7"/>
      <c r="M30" s="9"/>
      <c r="N30" s="7"/>
    </row>
    <row r="31" spans="1:14" ht="45" x14ac:dyDescent="0.25">
      <c r="A31" s="1" t="str">
        <f>listeVal!A31</f>
        <v>CDT030</v>
      </c>
      <c r="B31" s="7" t="s">
        <v>489</v>
      </c>
      <c r="C31" s="7" t="s">
        <v>466</v>
      </c>
      <c r="D31" s="1" t="s">
        <v>513</v>
      </c>
      <c r="E31" s="1" t="s">
        <v>484</v>
      </c>
      <c r="F31" s="1" t="s">
        <v>510</v>
      </c>
      <c r="G31" s="7"/>
      <c r="H31" s="7"/>
      <c r="I31" s="7" t="s">
        <v>418</v>
      </c>
      <c r="J31" s="2" t="s">
        <v>407</v>
      </c>
      <c r="K31" s="9"/>
      <c r="L31" s="7"/>
      <c r="M31" s="9"/>
      <c r="N31" s="7"/>
    </row>
    <row r="32" spans="1:14" ht="255" x14ac:dyDescent="0.25">
      <c r="A32" s="1" t="str">
        <f>listeVal!A32</f>
        <v>CDT031</v>
      </c>
      <c r="B32" s="7" t="s">
        <v>529</v>
      </c>
      <c r="C32" s="7" t="s">
        <v>450</v>
      </c>
      <c r="D32" s="7" t="s">
        <v>521</v>
      </c>
      <c r="E32" s="7" t="s">
        <v>486</v>
      </c>
      <c r="F32" s="7" t="s">
        <v>522</v>
      </c>
      <c r="G32" s="7"/>
      <c r="H32" s="7" t="s">
        <v>530</v>
      </c>
      <c r="I32" s="7" t="s">
        <v>420</v>
      </c>
      <c r="J32" s="2" t="s">
        <v>407</v>
      </c>
      <c r="K32" s="9"/>
      <c r="L32" s="7"/>
      <c r="M32" s="9"/>
      <c r="N32" s="7"/>
    </row>
    <row r="33" spans="1:14" ht="255" x14ac:dyDescent="0.25">
      <c r="A33" s="1" t="str">
        <f>listeVal!A33</f>
        <v>CDT032</v>
      </c>
      <c r="B33" s="7" t="s">
        <v>529</v>
      </c>
      <c r="C33" s="7" t="s">
        <v>450</v>
      </c>
      <c r="D33" s="7" t="s">
        <v>523</v>
      </c>
      <c r="E33" s="7" t="s">
        <v>486</v>
      </c>
      <c r="F33" s="7" t="s">
        <v>522</v>
      </c>
      <c r="G33" s="7"/>
      <c r="H33" s="7" t="s">
        <v>531</v>
      </c>
      <c r="I33" s="7" t="s">
        <v>420</v>
      </c>
      <c r="J33" s="2" t="s">
        <v>407</v>
      </c>
      <c r="K33" s="9"/>
      <c r="L33" s="7"/>
      <c r="M33" s="9"/>
      <c r="N33" s="7"/>
    </row>
    <row r="34" spans="1:14" ht="255" x14ac:dyDescent="0.25">
      <c r="A34" s="1" t="str">
        <f>listeVal!A34</f>
        <v>CDT033</v>
      </c>
      <c r="B34" s="7" t="s">
        <v>529</v>
      </c>
      <c r="C34" s="7" t="s">
        <v>450</v>
      </c>
      <c r="D34" s="7" t="s">
        <v>524</v>
      </c>
      <c r="E34" s="7" t="s">
        <v>486</v>
      </c>
      <c r="F34" s="7" t="s">
        <v>522</v>
      </c>
      <c r="G34" s="7"/>
      <c r="H34" s="7" t="s">
        <v>532</v>
      </c>
      <c r="I34" s="7" t="s">
        <v>420</v>
      </c>
      <c r="J34" s="2" t="s">
        <v>407</v>
      </c>
      <c r="K34" s="9"/>
      <c r="L34" s="7"/>
      <c r="M34" s="9"/>
      <c r="N34" s="7"/>
    </row>
    <row r="35" spans="1:14" ht="225" x14ac:dyDescent="0.25">
      <c r="A35" s="1" t="str">
        <f>listeVal!A35</f>
        <v>CDT034</v>
      </c>
      <c r="B35" s="7" t="s">
        <v>529</v>
      </c>
      <c r="C35" s="7" t="s">
        <v>450</v>
      </c>
      <c r="D35" s="7" t="s">
        <v>525</v>
      </c>
      <c r="E35" s="7" t="s">
        <v>486</v>
      </c>
      <c r="F35" s="7" t="s">
        <v>526</v>
      </c>
      <c r="G35" s="7"/>
      <c r="H35" s="7" t="s">
        <v>533</v>
      </c>
      <c r="I35" s="7" t="s">
        <v>420</v>
      </c>
      <c r="J35" s="2" t="s">
        <v>407</v>
      </c>
      <c r="K35" s="9"/>
      <c r="L35" s="7"/>
      <c r="M35" s="9"/>
      <c r="N35" s="7"/>
    </row>
    <row r="36" spans="1:14" ht="225" x14ac:dyDescent="0.25">
      <c r="A36" s="1" t="str">
        <f>listeVal!A36</f>
        <v>CDT035</v>
      </c>
      <c r="B36" s="7" t="s">
        <v>529</v>
      </c>
      <c r="C36" s="7" t="s">
        <v>450</v>
      </c>
      <c r="D36" s="7" t="s">
        <v>527</v>
      </c>
      <c r="E36" s="7" t="s">
        <v>486</v>
      </c>
      <c r="F36" s="7" t="s">
        <v>528</v>
      </c>
      <c r="G36" s="7"/>
      <c r="H36" s="7" t="s">
        <v>534</v>
      </c>
      <c r="I36" s="7" t="s">
        <v>420</v>
      </c>
      <c r="J36" s="2" t="s">
        <v>407</v>
      </c>
      <c r="K36" s="9"/>
      <c r="L36" s="7"/>
      <c r="M36" s="9"/>
      <c r="N36" s="7"/>
    </row>
    <row r="37" spans="1:14" ht="30" x14ac:dyDescent="0.25">
      <c r="A37" s="1" t="str">
        <f>listeVal!A37</f>
        <v>CDT036</v>
      </c>
      <c r="B37" s="7"/>
      <c r="C37" s="7"/>
      <c r="D37" s="7"/>
      <c r="E37" s="7"/>
      <c r="F37" s="7"/>
      <c r="G37" s="7"/>
      <c r="H37" s="7"/>
      <c r="I37" s="7"/>
      <c r="J37" s="2" t="s">
        <v>407</v>
      </c>
      <c r="K37" s="9"/>
      <c r="L37" s="7"/>
      <c r="M37" s="9"/>
      <c r="N37" s="7"/>
    </row>
    <row r="38" spans="1:14" ht="30" x14ac:dyDescent="0.25">
      <c r="A38" s="1" t="str">
        <f>listeVal!A38</f>
        <v>CDT037</v>
      </c>
      <c r="B38" s="7"/>
      <c r="C38" s="7"/>
      <c r="D38" s="7"/>
      <c r="E38" s="7"/>
      <c r="F38" s="7"/>
      <c r="G38" s="1"/>
      <c r="H38" s="7"/>
      <c r="I38" s="7"/>
      <c r="J38" s="2" t="s">
        <v>407</v>
      </c>
      <c r="K38" s="9"/>
      <c r="L38" s="7"/>
      <c r="M38" s="9"/>
      <c r="N38" s="1"/>
    </row>
    <row r="39" spans="1:14" ht="30" x14ac:dyDescent="0.25">
      <c r="A39" s="1" t="str">
        <f>listeVal!A39</f>
        <v>CDT038</v>
      </c>
      <c r="B39" s="7"/>
      <c r="C39" s="7"/>
      <c r="D39" s="7"/>
      <c r="E39" s="7"/>
      <c r="F39" s="7"/>
      <c r="G39" s="7"/>
      <c r="H39" s="7"/>
      <c r="I39" s="7"/>
      <c r="J39" s="2" t="s">
        <v>407</v>
      </c>
      <c r="K39" s="9"/>
      <c r="L39" s="7"/>
      <c r="M39" s="9"/>
      <c r="N39" s="7"/>
    </row>
    <row r="40" spans="1:14" ht="30" x14ac:dyDescent="0.25">
      <c r="A40" s="1" t="str">
        <f>listeVal!A40</f>
        <v>CDT039</v>
      </c>
      <c r="B40" s="7"/>
      <c r="C40" s="7"/>
      <c r="D40" s="7"/>
      <c r="E40" s="7"/>
      <c r="F40" s="7"/>
      <c r="G40" s="7"/>
      <c r="H40" s="7"/>
      <c r="I40" s="7"/>
      <c r="J40" s="2" t="s">
        <v>407</v>
      </c>
      <c r="K40" s="9"/>
      <c r="L40" s="7"/>
      <c r="M40" s="9"/>
      <c r="N40" s="7"/>
    </row>
    <row r="41" spans="1:14" ht="30" x14ac:dyDescent="0.25">
      <c r="A41" s="1" t="str">
        <f>listeVal!A41</f>
        <v>CDT040</v>
      </c>
      <c r="B41" s="7"/>
      <c r="C41" s="7"/>
      <c r="D41" s="7"/>
      <c r="E41" s="7"/>
      <c r="F41" s="7"/>
      <c r="G41" s="7"/>
      <c r="H41" s="7"/>
      <c r="I41" s="7"/>
      <c r="J41" s="2" t="s">
        <v>407</v>
      </c>
      <c r="K41" s="9"/>
      <c r="L41" s="7"/>
      <c r="M41" s="9"/>
      <c r="N41" s="7"/>
    </row>
    <row r="42" spans="1:14" ht="30" x14ac:dyDescent="0.25">
      <c r="A42" s="1" t="str">
        <f>listeVal!A42</f>
        <v>CDT041</v>
      </c>
      <c r="B42" s="7"/>
      <c r="C42" s="7"/>
      <c r="D42" s="7"/>
      <c r="E42" s="7"/>
      <c r="F42" s="7"/>
      <c r="G42" s="7"/>
      <c r="H42" s="7"/>
      <c r="I42" s="7"/>
      <c r="J42" s="2" t="s">
        <v>407</v>
      </c>
      <c r="K42" s="9"/>
      <c r="L42" s="7"/>
      <c r="M42" s="9"/>
      <c r="N42" s="7"/>
    </row>
    <row r="43" spans="1:14" ht="30" x14ac:dyDescent="0.25">
      <c r="A43" s="1" t="str">
        <f>listeVal!A43</f>
        <v>CDT042</v>
      </c>
      <c r="B43" s="7"/>
      <c r="C43" s="7"/>
      <c r="D43" s="7"/>
      <c r="E43" s="7"/>
      <c r="F43" s="7"/>
      <c r="G43" s="7"/>
      <c r="H43" s="7"/>
      <c r="I43" s="7"/>
      <c r="J43" s="2" t="s">
        <v>407</v>
      </c>
      <c r="K43" s="9"/>
      <c r="L43" s="7"/>
      <c r="M43" s="9"/>
      <c r="N43" s="7"/>
    </row>
    <row r="44" spans="1:14" ht="30" x14ac:dyDescent="0.25">
      <c r="A44" s="1" t="str">
        <f>listeVal!A44</f>
        <v>CDT043</v>
      </c>
      <c r="B44" s="7"/>
      <c r="C44" s="7"/>
      <c r="D44" s="7"/>
      <c r="E44" s="7"/>
      <c r="F44" s="7"/>
      <c r="G44" s="7"/>
      <c r="H44" s="7"/>
      <c r="I44" s="7"/>
      <c r="J44" s="2" t="s">
        <v>407</v>
      </c>
      <c r="K44" s="9"/>
      <c r="L44" s="7"/>
      <c r="M44" s="9"/>
      <c r="N44" s="7"/>
    </row>
    <row r="45" spans="1:14" ht="30" x14ac:dyDescent="0.25">
      <c r="A45" s="1" t="str">
        <f>listeVal!A45</f>
        <v>CDT044</v>
      </c>
      <c r="B45" s="7"/>
      <c r="C45" s="7"/>
      <c r="D45" s="7"/>
      <c r="E45" s="7"/>
      <c r="F45" s="7"/>
      <c r="G45" s="7"/>
      <c r="H45" s="7"/>
      <c r="I45" s="7"/>
      <c r="J45" s="2" t="s">
        <v>407</v>
      </c>
      <c r="K45" s="9"/>
      <c r="L45" s="7"/>
      <c r="M45" s="9"/>
      <c r="N45" s="7"/>
    </row>
    <row r="46" spans="1:14" ht="30" x14ac:dyDescent="0.25">
      <c r="A46" s="1" t="str">
        <f>listeVal!A46</f>
        <v>CDT045</v>
      </c>
      <c r="B46" s="7"/>
      <c r="C46" s="7"/>
      <c r="D46" s="7"/>
      <c r="E46" s="7"/>
      <c r="F46" s="7"/>
      <c r="G46" s="7"/>
      <c r="H46" s="7"/>
      <c r="I46" s="7"/>
      <c r="J46" s="2" t="s">
        <v>407</v>
      </c>
      <c r="K46" s="9"/>
      <c r="L46" s="7"/>
      <c r="M46" s="9"/>
      <c r="N46" s="7"/>
    </row>
    <row r="47" spans="1:14" ht="30" x14ac:dyDescent="0.25">
      <c r="A47" s="1" t="str">
        <f>listeVal!A47</f>
        <v>CDT046</v>
      </c>
      <c r="B47" s="7"/>
      <c r="C47" s="7"/>
      <c r="D47" s="7"/>
      <c r="E47" s="7"/>
      <c r="F47" s="7"/>
      <c r="G47" s="7"/>
      <c r="H47" s="7"/>
      <c r="I47" s="7"/>
      <c r="J47" s="2" t="s">
        <v>407</v>
      </c>
      <c r="K47" s="9"/>
      <c r="L47" s="7"/>
      <c r="M47" s="9"/>
      <c r="N47" s="7"/>
    </row>
    <row r="48" spans="1:14" ht="30" x14ac:dyDescent="0.25">
      <c r="A48" s="1" t="str">
        <f>listeVal!A48</f>
        <v>CDT047</v>
      </c>
      <c r="B48" s="7"/>
      <c r="C48" s="7"/>
      <c r="D48" s="7"/>
      <c r="E48" s="7"/>
      <c r="F48" s="7"/>
      <c r="G48" s="7"/>
      <c r="H48" s="7"/>
      <c r="I48" s="7"/>
      <c r="J48" s="2" t="s">
        <v>407</v>
      </c>
      <c r="K48" s="9"/>
      <c r="L48" s="7"/>
      <c r="M48" s="9"/>
      <c r="N48" s="7"/>
    </row>
    <row r="49" spans="1:14" ht="30" x14ac:dyDescent="0.25">
      <c r="A49" s="1" t="str">
        <f>listeVal!A49</f>
        <v>CDT048</v>
      </c>
      <c r="B49" s="7"/>
      <c r="C49" s="7"/>
      <c r="D49" s="7"/>
      <c r="E49" s="7"/>
      <c r="F49" s="7"/>
      <c r="G49" s="7"/>
      <c r="H49" s="7"/>
      <c r="I49" s="7"/>
      <c r="J49" s="2" t="s">
        <v>407</v>
      </c>
      <c r="K49" s="9"/>
      <c r="L49" s="7"/>
      <c r="M49" s="9"/>
      <c r="N49" s="7"/>
    </row>
    <row r="50" spans="1:14" ht="30" x14ac:dyDescent="0.25">
      <c r="A50" s="1" t="str">
        <f>listeVal!A50</f>
        <v>CDT049</v>
      </c>
      <c r="B50" s="7"/>
      <c r="C50" s="7"/>
      <c r="D50" s="7"/>
      <c r="E50" s="7"/>
      <c r="F50" s="7"/>
      <c r="G50" s="7"/>
      <c r="H50" s="7"/>
      <c r="I50" s="7"/>
      <c r="J50" s="2" t="s">
        <v>407</v>
      </c>
      <c r="K50" s="9"/>
      <c r="L50" s="7"/>
      <c r="M50" s="9"/>
      <c r="N50" s="7"/>
    </row>
    <row r="51" spans="1:14" ht="30" x14ac:dyDescent="0.25">
      <c r="A51" s="1" t="str">
        <f>listeVal!A51</f>
        <v>CDT050</v>
      </c>
      <c r="B51" s="7"/>
      <c r="C51" s="7"/>
      <c r="D51" s="7"/>
      <c r="E51" s="7"/>
      <c r="F51" s="7"/>
      <c r="G51" s="1"/>
      <c r="H51" s="7"/>
      <c r="I51" s="7"/>
      <c r="J51" s="2" t="s">
        <v>407</v>
      </c>
      <c r="K51" s="9"/>
      <c r="L51" s="7"/>
      <c r="M51" s="9"/>
      <c r="N51" s="1"/>
    </row>
    <row r="52" spans="1:14" ht="30" x14ac:dyDescent="0.25">
      <c r="A52" s="1" t="str">
        <f>listeVal!A52</f>
        <v>CDT051</v>
      </c>
      <c r="B52" s="7"/>
      <c r="C52" s="7"/>
      <c r="D52" s="7"/>
      <c r="E52" s="7"/>
      <c r="F52" s="7"/>
      <c r="G52" s="7"/>
      <c r="H52" s="7"/>
      <c r="I52" s="7"/>
      <c r="J52" s="2" t="s">
        <v>407</v>
      </c>
      <c r="K52" s="9"/>
      <c r="L52" s="7"/>
      <c r="M52" s="9"/>
      <c r="N52" s="7"/>
    </row>
    <row r="53" spans="1:14" ht="30" x14ac:dyDescent="0.25">
      <c r="A53" s="1" t="str">
        <f>listeVal!A53</f>
        <v>CDT052</v>
      </c>
      <c r="B53" s="7"/>
      <c r="C53" s="7"/>
      <c r="D53" s="7"/>
      <c r="E53" s="7"/>
      <c r="F53" s="7"/>
      <c r="G53" s="7"/>
      <c r="H53" s="7"/>
      <c r="I53" s="7"/>
      <c r="J53" s="2" t="s">
        <v>407</v>
      </c>
      <c r="K53" s="9"/>
      <c r="L53" s="7"/>
      <c r="M53" s="9"/>
      <c r="N53" s="7"/>
    </row>
    <row r="54" spans="1:14" ht="30" x14ac:dyDescent="0.25">
      <c r="A54" s="1" t="str">
        <f>listeVal!A54</f>
        <v>CDT053</v>
      </c>
      <c r="B54" s="7"/>
      <c r="C54" s="7"/>
      <c r="D54" s="7"/>
      <c r="E54" s="7"/>
      <c r="F54" s="7"/>
      <c r="G54" s="1"/>
      <c r="H54" s="7"/>
      <c r="I54" s="7"/>
      <c r="J54" s="2" t="s">
        <v>407</v>
      </c>
      <c r="K54" s="9"/>
      <c r="L54" s="7"/>
      <c r="M54" s="9"/>
      <c r="N54" s="7"/>
    </row>
    <row r="55" spans="1:14" ht="30" x14ac:dyDescent="0.25">
      <c r="A55" s="1" t="str">
        <f>listeVal!A55</f>
        <v>CDT054</v>
      </c>
      <c r="B55" s="7"/>
      <c r="C55" s="7"/>
      <c r="D55" s="7"/>
      <c r="E55" s="7"/>
      <c r="F55" s="7"/>
      <c r="G55" s="7"/>
      <c r="H55" s="7"/>
      <c r="I55" s="7"/>
      <c r="J55" s="2" t="s">
        <v>407</v>
      </c>
      <c r="K55" s="9"/>
      <c r="L55" s="7"/>
      <c r="M55" s="9"/>
      <c r="N55" s="7"/>
    </row>
    <row r="56" spans="1:14" ht="30" x14ac:dyDescent="0.25">
      <c r="A56" s="1" t="str">
        <f>listeVal!A56</f>
        <v>CDT055</v>
      </c>
      <c r="B56" s="7"/>
      <c r="C56" s="7"/>
      <c r="D56" s="7"/>
      <c r="E56" s="7"/>
      <c r="F56" s="7"/>
      <c r="G56" s="7"/>
      <c r="H56" s="7"/>
      <c r="I56" s="7"/>
      <c r="J56" s="2" t="s">
        <v>407</v>
      </c>
      <c r="K56" s="9"/>
      <c r="L56" s="7"/>
      <c r="M56" s="9"/>
      <c r="N56" s="7"/>
    </row>
    <row r="57" spans="1:14" ht="30" x14ac:dyDescent="0.25">
      <c r="A57" s="1" t="str">
        <f>listeVal!A57</f>
        <v>CDT056</v>
      </c>
      <c r="B57" s="7"/>
      <c r="C57" s="7"/>
      <c r="D57" s="7"/>
      <c r="E57" s="7"/>
      <c r="F57" s="7"/>
      <c r="G57" s="7"/>
      <c r="H57" s="7"/>
      <c r="I57" s="7"/>
      <c r="J57" s="2" t="s">
        <v>407</v>
      </c>
      <c r="K57" s="9"/>
      <c r="L57" s="7"/>
      <c r="M57" s="9"/>
      <c r="N57" s="7"/>
    </row>
    <row r="58" spans="1:14" ht="30" x14ac:dyDescent="0.25">
      <c r="A58" s="1" t="str">
        <f>listeVal!A58</f>
        <v>CDT057</v>
      </c>
      <c r="B58" s="7"/>
      <c r="C58" s="7"/>
      <c r="D58" s="7"/>
      <c r="E58" s="7"/>
      <c r="F58" s="7"/>
      <c r="G58" s="7"/>
      <c r="H58" s="7"/>
      <c r="I58" s="7"/>
      <c r="J58" s="2" t="s">
        <v>407</v>
      </c>
      <c r="K58" s="9"/>
      <c r="L58" s="7"/>
      <c r="M58" s="9"/>
      <c r="N58" s="7"/>
    </row>
    <row r="59" spans="1:14" ht="30" x14ac:dyDescent="0.25">
      <c r="A59" s="1" t="str">
        <f>listeVal!A59</f>
        <v>CDT058</v>
      </c>
      <c r="B59" s="7"/>
      <c r="C59" s="7"/>
      <c r="D59" s="7"/>
      <c r="E59" s="7"/>
      <c r="F59" s="7"/>
      <c r="G59" s="7"/>
      <c r="H59" s="7"/>
      <c r="I59" s="7"/>
      <c r="J59" s="2" t="s">
        <v>407</v>
      </c>
      <c r="K59" s="9"/>
      <c r="L59" s="7"/>
      <c r="M59" s="9"/>
      <c r="N59" s="7"/>
    </row>
    <row r="60" spans="1:14" ht="30" x14ac:dyDescent="0.25">
      <c r="A60" s="1" t="str">
        <f>listeVal!A60</f>
        <v>CDT059</v>
      </c>
      <c r="B60" s="7"/>
      <c r="C60" s="7"/>
      <c r="D60" s="7"/>
      <c r="E60" s="7"/>
      <c r="F60" s="7"/>
      <c r="G60" s="7"/>
      <c r="H60" s="7"/>
      <c r="I60" s="7"/>
      <c r="J60" s="2" t="s">
        <v>407</v>
      </c>
      <c r="K60" s="9"/>
      <c r="L60" s="7"/>
      <c r="M60" s="9"/>
      <c r="N60" s="7"/>
    </row>
    <row r="61" spans="1:14" ht="30" x14ac:dyDescent="0.25">
      <c r="A61" s="1" t="str">
        <f>listeVal!A61</f>
        <v>CDT060</v>
      </c>
      <c r="B61" s="7"/>
      <c r="C61" s="7"/>
      <c r="D61" s="7"/>
      <c r="E61" s="7"/>
      <c r="F61" s="7"/>
      <c r="G61" s="7"/>
      <c r="H61" s="7"/>
      <c r="I61" s="7"/>
      <c r="J61" s="2" t="s">
        <v>407</v>
      </c>
      <c r="K61" s="9"/>
      <c r="L61" s="7"/>
      <c r="M61" s="9"/>
      <c r="N61" s="7"/>
    </row>
    <row r="62" spans="1:14" ht="30" x14ac:dyDescent="0.25">
      <c r="A62" s="1" t="str">
        <f>listeVal!A62</f>
        <v>CDT061</v>
      </c>
      <c r="B62" s="7"/>
      <c r="C62" s="7"/>
      <c r="D62" s="7"/>
      <c r="E62" s="7"/>
      <c r="F62" s="7"/>
      <c r="G62" s="7"/>
      <c r="H62" s="7"/>
      <c r="I62" s="7"/>
      <c r="J62" s="2" t="s">
        <v>407</v>
      </c>
      <c r="K62" s="9"/>
      <c r="L62" s="7"/>
      <c r="M62" s="9"/>
      <c r="N62" s="7"/>
    </row>
    <row r="63" spans="1:14" ht="30" x14ac:dyDescent="0.25">
      <c r="A63" s="1" t="str">
        <f>listeVal!A63</f>
        <v>CDT062</v>
      </c>
      <c r="B63" s="7"/>
      <c r="C63" s="7"/>
      <c r="D63" s="7"/>
      <c r="E63" s="7"/>
      <c r="F63" s="7"/>
      <c r="G63" s="7"/>
      <c r="H63" s="7"/>
      <c r="I63" s="7"/>
      <c r="J63" s="2" t="s">
        <v>407</v>
      </c>
      <c r="K63" s="9"/>
      <c r="L63" s="7"/>
      <c r="M63" s="9"/>
      <c r="N63" s="7"/>
    </row>
    <row r="64" spans="1:14" ht="30" x14ac:dyDescent="0.25">
      <c r="A64" s="1" t="str">
        <f>listeVal!A64</f>
        <v>CDT063</v>
      </c>
      <c r="B64" s="7"/>
      <c r="C64" s="7"/>
      <c r="D64" s="7"/>
      <c r="E64" s="7"/>
      <c r="F64" s="7"/>
      <c r="G64" s="7"/>
      <c r="H64" s="7"/>
      <c r="I64" s="7"/>
      <c r="J64" s="2" t="s">
        <v>407</v>
      </c>
      <c r="K64" s="9"/>
      <c r="L64" s="7"/>
      <c r="M64" s="9"/>
      <c r="N64" s="7"/>
    </row>
    <row r="65" spans="1:14" ht="30" x14ac:dyDescent="0.25">
      <c r="A65" s="1" t="str">
        <f>listeVal!A65</f>
        <v>CDT064</v>
      </c>
      <c r="B65" s="7"/>
      <c r="C65" s="7"/>
      <c r="D65" s="7"/>
      <c r="E65" s="7"/>
      <c r="F65" s="7"/>
      <c r="G65" s="7"/>
      <c r="H65" s="7"/>
      <c r="I65" s="7"/>
      <c r="J65" s="2" t="s">
        <v>407</v>
      </c>
      <c r="K65" s="9"/>
      <c r="L65" s="7"/>
      <c r="M65" s="9"/>
      <c r="N65" s="7"/>
    </row>
    <row r="66" spans="1:14" ht="30" x14ac:dyDescent="0.25">
      <c r="A66" s="1" t="str">
        <f>listeVal!A66</f>
        <v>CDT065</v>
      </c>
      <c r="B66" s="7"/>
      <c r="C66" s="7"/>
      <c r="D66" s="7"/>
      <c r="E66" s="7"/>
      <c r="F66" s="7"/>
      <c r="G66" s="7"/>
      <c r="H66" s="7"/>
      <c r="I66" s="7"/>
      <c r="J66" s="2" t="s">
        <v>407</v>
      </c>
      <c r="K66" s="9"/>
      <c r="L66" s="7"/>
      <c r="M66" s="9"/>
      <c r="N66" s="7"/>
    </row>
    <row r="67" spans="1:14" x14ac:dyDescent="0.25">
      <c r="A67" s="32"/>
      <c r="B67" s="30"/>
      <c r="C67" s="30"/>
      <c r="D67" s="30"/>
      <c r="E67" s="30"/>
      <c r="F67" s="30"/>
      <c r="G67" s="30"/>
      <c r="H67" s="30"/>
      <c r="I67" s="30"/>
      <c r="J67" s="33"/>
      <c r="K67" s="33"/>
      <c r="L67" s="30"/>
      <c r="M67" s="33"/>
      <c r="N67" s="30"/>
    </row>
    <row r="68" spans="1:14" x14ac:dyDescent="0.25">
      <c r="A68" s="32"/>
      <c r="B68" s="30"/>
      <c r="C68" s="30"/>
      <c r="D68" s="30"/>
      <c r="E68" s="30"/>
      <c r="F68" s="30"/>
      <c r="G68" s="30"/>
      <c r="H68" s="30"/>
      <c r="I68" s="30"/>
      <c r="J68" s="33"/>
      <c r="K68" s="33"/>
      <c r="L68" s="30"/>
      <c r="M68" s="33"/>
      <c r="N68" s="30"/>
    </row>
    <row r="69" spans="1:14" x14ac:dyDescent="0.25">
      <c r="A69" s="32"/>
      <c r="B69" s="30"/>
      <c r="C69" s="30"/>
      <c r="D69" s="30"/>
      <c r="E69" s="30"/>
      <c r="F69" s="30"/>
      <c r="G69" s="30"/>
      <c r="H69" s="30"/>
      <c r="I69" s="30"/>
      <c r="J69" s="33"/>
      <c r="K69" s="33"/>
      <c r="L69" s="30"/>
      <c r="M69" s="33"/>
      <c r="N69" s="30"/>
    </row>
    <row r="70" spans="1:14" x14ac:dyDescent="0.25">
      <c r="A70" s="32"/>
      <c r="B70" s="30"/>
      <c r="C70" s="30"/>
      <c r="D70" s="30"/>
      <c r="E70" s="30"/>
      <c r="F70" s="30"/>
      <c r="G70" s="30"/>
      <c r="H70" s="30"/>
      <c r="I70" s="30"/>
      <c r="J70" s="33"/>
      <c r="K70" s="33"/>
      <c r="L70" s="30"/>
      <c r="M70" s="33"/>
      <c r="N70" s="30"/>
    </row>
    <row r="71" spans="1:14" x14ac:dyDescent="0.25">
      <c r="A71" s="32"/>
      <c r="B71" s="30"/>
      <c r="C71" s="30"/>
      <c r="D71" s="30"/>
      <c r="E71" s="30"/>
      <c r="F71" s="30"/>
      <c r="G71" s="30"/>
      <c r="H71" s="30"/>
      <c r="I71" s="30"/>
      <c r="J71" s="33"/>
      <c r="K71" s="33"/>
      <c r="L71" s="30"/>
      <c r="M71" s="33"/>
      <c r="N71" s="30"/>
    </row>
    <row r="72" spans="1:14" x14ac:dyDescent="0.25">
      <c r="A72" s="32"/>
      <c r="B72" s="30"/>
      <c r="C72" s="30"/>
      <c r="D72" s="30"/>
      <c r="E72" s="30"/>
      <c r="F72" s="30"/>
      <c r="G72" s="30"/>
      <c r="H72" s="30"/>
      <c r="I72" s="30"/>
      <c r="J72" s="33"/>
      <c r="K72" s="33"/>
      <c r="L72" s="30"/>
      <c r="M72" s="33"/>
      <c r="N72" s="30"/>
    </row>
    <row r="73" spans="1:14" x14ac:dyDescent="0.25">
      <c r="A73" s="32"/>
      <c r="B73" s="30"/>
      <c r="C73" s="30"/>
      <c r="D73" s="30"/>
      <c r="E73" s="30"/>
      <c r="F73" s="30"/>
      <c r="G73" s="30"/>
      <c r="H73" s="30"/>
      <c r="I73" s="30"/>
      <c r="J73" s="33"/>
      <c r="K73" s="33"/>
      <c r="L73" s="30"/>
      <c r="M73" s="33"/>
      <c r="N73" s="30"/>
    </row>
    <row r="74" spans="1:14" x14ac:dyDescent="0.25">
      <c r="A74" s="32"/>
      <c r="B74" s="30"/>
      <c r="C74" s="30"/>
      <c r="D74" s="30"/>
      <c r="E74" s="30"/>
      <c r="F74" s="30"/>
      <c r="G74" s="30"/>
      <c r="H74" s="30"/>
      <c r="I74" s="30"/>
      <c r="J74" s="33"/>
      <c r="K74" s="33"/>
      <c r="L74" s="30"/>
      <c r="M74" s="33"/>
      <c r="N74" s="34"/>
    </row>
    <row r="75" spans="1:14" x14ac:dyDescent="0.25">
      <c r="A75" s="32"/>
      <c r="B75" s="30"/>
      <c r="C75" s="30"/>
      <c r="D75" s="30"/>
      <c r="E75" s="30"/>
      <c r="F75" s="30"/>
      <c r="G75" s="30"/>
      <c r="H75" s="30"/>
      <c r="I75" s="30"/>
      <c r="J75" s="33"/>
      <c r="K75" s="33"/>
      <c r="L75" s="30"/>
      <c r="M75" s="33"/>
      <c r="N75" s="30"/>
    </row>
    <row r="76" spans="1:14" x14ac:dyDescent="0.25">
      <c r="A76" s="32"/>
      <c r="B76" s="30"/>
      <c r="C76" s="30"/>
      <c r="D76" s="30"/>
      <c r="E76" s="30"/>
      <c r="F76" s="30"/>
      <c r="G76" s="30"/>
      <c r="H76" s="30"/>
      <c r="I76" s="30"/>
      <c r="J76" s="33"/>
      <c r="K76" s="33"/>
      <c r="L76" s="30"/>
      <c r="M76" s="33"/>
      <c r="N76" s="30"/>
    </row>
    <row r="77" spans="1:14" x14ac:dyDescent="0.25">
      <c r="A77" s="32"/>
      <c r="B77" s="30"/>
      <c r="C77" s="30"/>
      <c r="D77" s="30"/>
      <c r="E77" s="30"/>
      <c r="F77" s="30"/>
      <c r="G77" s="30"/>
      <c r="H77" s="30"/>
      <c r="I77" s="30"/>
      <c r="J77" s="33"/>
      <c r="K77" s="33"/>
      <c r="L77" s="30"/>
      <c r="M77" s="33"/>
      <c r="N77" s="30"/>
    </row>
    <row r="78" spans="1:14" x14ac:dyDescent="0.25">
      <c r="A78" s="32"/>
      <c r="B78" s="30"/>
      <c r="C78" s="30"/>
      <c r="D78" s="30"/>
      <c r="E78" s="30"/>
      <c r="F78" s="30"/>
      <c r="G78" s="30"/>
      <c r="H78" s="30"/>
      <c r="I78" s="30"/>
      <c r="J78" s="33"/>
      <c r="K78" s="33"/>
      <c r="L78" s="30"/>
      <c r="M78" s="33"/>
      <c r="N78" s="30"/>
    </row>
    <row r="79" spans="1:14" x14ac:dyDescent="0.25">
      <c r="A79" s="32"/>
      <c r="B79" s="30"/>
      <c r="C79" s="30"/>
      <c r="D79" s="30"/>
      <c r="E79" s="30"/>
      <c r="F79" s="30"/>
      <c r="G79" s="30"/>
      <c r="H79" s="30"/>
      <c r="I79" s="30"/>
      <c r="J79" s="33"/>
      <c r="K79" s="33"/>
      <c r="L79" s="30"/>
      <c r="M79" s="33"/>
      <c r="N79" s="30"/>
    </row>
    <row r="80" spans="1:14" x14ac:dyDescent="0.25">
      <c r="A80" s="32"/>
      <c r="B80" s="30"/>
      <c r="C80" s="30"/>
      <c r="D80" s="30"/>
      <c r="E80" s="30"/>
      <c r="F80" s="30"/>
      <c r="G80" s="30"/>
      <c r="H80" s="30"/>
      <c r="I80" s="30"/>
      <c r="J80" s="33"/>
      <c r="K80" s="33"/>
      <c r="L80" s="30"/>
      <c r="M80" s="33"/>
      <c r="N80" s="30"/>
    </row>
    <row r="81" spans="1:14" x14ac:dyDescent="0.25">
      <c r="A81" s="32"/>
      <c r="B81" s="30"/>
      <c r="C81" s="30"/>
      <c r="D81" s="30"/>
      <c r="E81" s="30"/>
      <c r="F81" s="30"/>
      <c r="G81" s="30"/>
      <c r="H81" s="30"/>
      <c r="I81" s="30"/>
      <c r="J81" s="33"/>
      <c r="K81" s="33"/>
      <c r="L81" s="30"/>
      <c r="M81" s="33"/>
      <c r="N81" s="30"/>
    </row>
    <row r="82" spans="1:14" x14ac:dyDescent="0.25">
      <c r="A82" s="32"/>
      <c r="B82" s="30"/>
      <c r="C82" s="30"/>
      <c r="D82" s="30"/>
      <c r="E82" s="30"/>
      <c r="F82" s="30"/>
      <c r="G82" s="30"/>
      <c r="H82" s="30"/>
      <c r="I82" s="30"/>
      <c r="J82" s="33"/>
      <c r="K82" s="33"/>
      <c r="L82" s="30"/>
      <c r="M82" s="33"/>
      <c r="N82" s="30"/>
    </row>
    <row r="83" spans="1:14" x14ac:dyDescent="0.25">
      <c r="A83" s="32"/>
      <c r="B83" s="30"/>
      <c r="C83" s="30"/>
      <c r="D83" s="30"/>
      <c r="E83" s="30"/>
      <c r="F83" s="30"/>
      <c r="G83" s="30"/>
      <c r="H83" s="30"/>
      <c r="I83" s="30"/>
      <c r="J83" s="33"/>
      <c r="K83" s="33"/>
      <c r="L83" s="30"/>
      <c r="M83" s="33"/>
      <c r="N83" s="30"/>
    </row>
    <row r="84" spans="1:14" x14ac:dyDescent="0.25">
      <c r="A84" s="32"/>
      <c r="B84" s="30"/>
      <c r="C84" s="30"/>
      <c r="D84" s="30"/>
      <c r="E84" s="30"/>
      <c r="F84" s="30"/>
      <c r="G84" s="30"/>
      <c r="H84" s="30"/>
      <c r="I84" s="30"/>
      <c r="J84" s="33"/>
      <c r="K84" s="33"/>
      <c r="L84" s="30"/>
      <c r="M84" s="33"/>
      <c r="N84" s="30"/>
    </row>
    <row r="85" spans="1:14" x14ac:dyDescent="0.25">
      <c r="A85" s="32"/>
      <c r="B85" s="30"/>
      <c r="C85" s="30"/>
      <c r="D85" s="30"/>
      <c r="E85" s="30"/>
      <c r="F85" s="30"/>
      <c r="G85" s="30"/>
      <c r="H85" s="30"/>
      <c r="I85" s="30"/>
      <c r="J85" s="33"/>
      <c r="K85" s="35"/>
      <c r="L85" s="30"/>
      <c r="M85" s="33"/>
      <c r="N85" s="30"/>
    </row>
    <row r="86" spans="1:14" x14ac:dyDescent="0.25">
      <c r="A86" s="32"/>
      <c r="B86" s="30"/>
      <c r="C86" s="30"/>
      <c r="D86" s="30"/>
      <c r="E86" s="30"/>
      <c r="F86" s="30"/>
      <c r="G86" s="30"/>
      <c r="H86" s="30"/>
      <c r="I86" s="30"/>
      <c r="J86" s="33"/>
      <c r="K86" s="33"/>
      <c r="L86" s="30"/>
      <c r="M86" s="33"/>
      <c r="N86" s="30"/>
    </row>
    <row r="87" spans="1:14" x14ac:dyDescent="0.25">
      <c r="A87" s="32"/>
      <c r="B87" s="30"/>
      <c r="C87" s="30"/>
      <c r="D87" s="30"/>
      <c r="E87" s="30"/>
      <c r="F87" s="30"/>
      <c r="G87" s="30"/>
      <c r="H87" s="30"/>
      <c r="I87" s="30"/>
      <c r="J87" s="33"/>
      <c r="K87" s="33"/>
      <c r="L87" s="30"/>
      <c r="M87" s="33"/>
      <c r="N87" s="30"/>
    </row>
    <row r="88" spans="1:14" x14ac:dyDescent="0.25">
      <c r="A88" s="32"/>
      <c r="B88" s="30"/>
      <c r="C88" s="30"/>
      <c r="D88" s="30"/>
      <c r="E88" s="30"/>
      <c r="F88" s="30"/>
      <c r="G88" s="30"/>
      <c r="H88" s="30"/>
      <c r="I88" s="30"/>
      <c r="J88" s="33"/>
      <c r="K88" s="33"/>
      <c r="L88" s="30"/>
      <c r="M88" s="33"/>
      <c r="N88" s="30"/>
    </row>
    <row r="89" spans="1:14" x14ac:dyDescent="0.25">
      <c r="A89" s="32"/>
      <c r="B89" s="30"/>
      <c r="C89" s="30"/>
      <c r="D89" s="30"/>
      <c r="E89" s="30"/>
      <c r="F89" s="30"/>
      <c r="G89" s="30"/>
      <c r="H89" s="30"/>
      <c r="I89" s="30"/>
      <c r="J89" s="33"/>
      <c r="K89" s="33"/>
      <c r="L89" s="30"/>
      <c r="M89" s="33"/>
      <c r="N89" s="30"/>
    </row>
    <row r="90" spans="1:14" x14ac:dyDescent="0.25">
      <c r="A90" s="32"/>
      <c r="B90" s="30"/>
      <c r="C90" s="30"/>
      <c r="D90" s="30"/>
      <c r="E90" s="30"/>
      <c r="F90" s="30"/>
      <c r="G90" s="30"/>
      <c r="H90" s="30"/>
      <c r="I90" s="30"/>
      <c r="J90" s="33"/>
      <c r="K90" s="33"/>
      <c r="L90" s="30"/>
      <c r="M90" s="33"/>
      <c r="N90" s="30"/>
    </row>
    <row r="91" spans="1:14" x14ac:dyDescent="0.25">
      <c r="A91" s="32"/>
      <c r="B91" s="30"/>
      <c r="C91" s="30"/>
      <c r="D91" s="30"/>
      <c r="E91" s="30"/>
      <c r="F91" s="30"/>
      <c r="G91" s="30"/>
      <c r="H91" s="30"/>
      <c r="I91" s="30"/>
      <c r="J91" s="33"/>
      <c r="K91" s="33"/>
      <c r="L91" s="30"/>
      <c r="M91" s="33"/>
      <c r="N91" s="30"/>
    </row>
    <row r="92" spans="1:14" x14ac:dyDescent="0.25">
      <c r="A92" s="32"/>
      <c r="B92" s="30"/>
      <c r="C92" s="30"/>
      <c r="D92" s="30"/>
      <c r="E92" s="30"/>
      <c r="F92" s="30"/>
      <c r="G92" s="30"/>
      <c r="H92" s="30"/>
      <c r="I92" s="30"/>
      <c r="J92" s="33"/>
      <c r="K92" s="33"/>
      <c r="L92" s="30"/>
      <c r="M92" s="33"/>
      <c r="N92" s="30"/>
    </row>
    <row r="93" spans="1:14" x14ac:dyDescent="0.25">
      <c r="A93" s="32"/>
      <c r="B93" s="30"/>
      <c r="C93" s="30"/>
      <c r="D93" s="30"/>
      <c r="E93" s="30"/>
      <c r="F93" s="30"/>
      <c r="G93" s="30"/>
      <c r="H93" s="30"/>
      <c r="I93" s="30"/>
      <c r="J93" s="33"/>
      <c r="K93" s="33"/>
      <c r="L93" s="30"/>
      <c r="M93" s="33"/>
      <c r="N93" s="30"/>
    </row>
    <row r="94" spans="1:14" x14ac:dyDescent="0.25">
      <c r="A94" s="32"/>
      <c r="B94" s="30"/>
      <c r="C94" s="30"/>
      <c r="D94" s="30"/>
      <c r="E94" s="30"/>
      <c r="F94" s="30"/>
      <c r="G94" s="30"/>
      <c r="H94" s="30"/>
      <c r="I94" s="30"/>
      <c r="J94" s="33"/>
      <c r="K94" s="33"/>
      <c r="L94" s="30"/>
      <c r="M94" s="33"/>
      <c r="N94" s="30"/>
    </row>
    <row r="95" spans="1:14" x14ac:dyDescent="0.25">
      <c r="A95" s="32"/>
      <c r="B95" s="30"/>
      <c r="C95" s="30"/>
      <c r="D95" s="30"/>
      <c r="E95" s="30"/>
      <c r="F95" s="30"/>
      <c r="G95" s="30"/>
      <c r="H95" s="30"/>
      <c r="I95" s="30"/>
      <c r="J95" s="33"/>
      <c r="K95" s="33"/>
      <c r="L95" s="30"/>
      <c r="M95" s="33"/>
      <c r="N95" s="30"/>
    </row>
    <row r="96" spans="1:14" x14ac:dyDescent="0.25">
      <c r="A96" s="32"/>
      <c r="B96" s="30"/>
      <c r="C96" s="30"/>
      <c r="D96" s="30"/>
      <c r="E96" s="30"/>
      <c r="F96" s="30"/>
      <c r="G96" s="30"/>
      <c r="H96" s="30"/>
      <c r="I96" s="30"/>
      <c r="J96" s="33"/>
      <c r="K96" s="33"/>
      <c r="L96" s="30"/>
      <c r="M96" s="33"/>
      <c r="N96" s="30"/>
    </row>
    <row r="97" spans="1:14" x14ac:dyDescent="0.25">
      <c r="A97" s="30"/>
      <c r="B97" s="30"/>
      <c r="C97" s="30"/>
      <c r="D97" s="30"/>
      <c r="E97" s="30"/>
      <c r="F97" s="30"/>
      <c r="G97" s="30"/>
      <c r="H97" s="30"/>
      <c r="I97" s="30"/>
      <c r="J97" s="33"/>
      <c r="K97" s="33"/>
      <c r="L97" s="30"/>
      <c r="M97" s="33"/>
      <c r="N97" s="30"/>
    </row>
    <row r="98" spans="1:14" x14ac:dyDescent="0.25">
      <c r="A98" s="30"/>
      <c r="B98" s="30"/>
      <c r="C98" s="30"/>
      <c r="D98" s="30"/>
      <c r="E98" s="30"/>
      <c r="F98" s="30"/>
      <c r="G98" s="30"/>
      <c r="H98" s="30"/>
      <c r="I98" s="30"/>
      <c r="J98" s="33"/>
      <c r="K98" s="33"/>
      <c r="L98" s="30"/>
      <c r="M98" s="33"/>
      <c r="N98" s="30"/>
    </row>
    <row r="99" spans="1:14" x14ac:dyDescent="0.25">
      <c r="A99" s="30"/>
      <c r="B99" s="30"/>
      <c r="C99" s="30"/>
      <c r="D99" s="30"/>
      <c r="E99" s="30"/>
      <c r="F99" s="30"/>
      <c r="G99" s="30"/>
      <c r="H99" s="30"/>
      <c r="I99" s="30"/>
      <c r="J99" s="33"/>
      <c r="K99" s="33"/>
      <c r="L99" s="30"/>
      <c r="M99" s="33"/>
      <c r="N99" s="30"/>
    </row>
    <row r="100" spans="1:14" x14ac:dyDescent="0.25">
      <c r="A100" s="30"/>
      <c r="B100" s="30"/>
      <c r="C100" s="30"/>
      <c r="D100" s="30"/>
      <c r="E100" s="30"/>
      <c r="F100" s="30"/>
      <c r="G100" s="30"/>
      <c r="H100" s="30"/>
      <c r="I100" s="30"/>
      <c r="J100" s="33"/>
      <c r="K100" s="33"/>
      <c r="L100" s="30"/>
      <c r="M100" s="33"/>
      <c r="N100" s="30"/>
    </row>
    <row r="101" spans="1:14" x14ac:dyDescent="0.25">
      <c r="A101" s="30"/>
      <c r="B101" s="30"/>
      <c r="C101" s="30"/>
      <c r="D101" s="30"/>
      <c r="E101" s="30"/>
      <c r="F101" s="30"/>
      <c r="G101" s="30"/>
      <c r="H101" s="30"/>
      <c r="I101" s="30"/>
      <c r="J101" s="33"/>
      <c r="K101" s="33"/>
      <c r="L101" s="30"/>
      <c r="M101" s="33"/>
      <c r="N101" s="30"/>
    </row>
    <row r="102" spans="1:14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3"/>
      <c r="K102" s="33"/>
      <c r="L102" s="30"/>
      <c r="M102" s="33"/>
      <c r="N102" s="30"/>
    </row>
    <row r="103" spans="1:14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3"/>
      <c r="K103" s="33"/>
      <c r="L103" s="30"/>
      <c r="M103" s="33"/>
      <c r="N103" s="30"/>
    </row>
    <row r="104" spans="1:14" x14ac:dyDescent="0.25">
      <c r="A104" s="30"/>
      <c r="B104" s="30"/>
      <c r="C104" s="30"/>
      <c r="D104" s="30"/>
      <c r="E104" s="30"/>
      <c r="F104" s="30"/>
      <c r="G104" s="34"/>
      <c r="H104" s="30"/>
      <c r="I104" s="30"/>
      <c r="J104" s="33"/>
      <c r="K104" s="33"/>
      <c r="L104" s="34"/>
      <c r="M104" s="36"/>
      <c r="N104" s="34"/>
    </row>
    <row r="105" spans="1:14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3"/>
      <c r="K105" s="33"/>
      <c r="L105" s="30"/>
      <c r="M105" s="33"/>
      <c r="N105" s="30"/>
    </row>
    <row r="106" spans="1:14" x14ac:dyDescent="0.25">
      <c r="A106" s="30"/>
      <c r="B106" s="30"/>
      <c r="C106" s="30"/>
      <c r="D106" s="30"/>
      <c r="E106" s="30"/>
      <c r="F106" s="30"/>
      <c r="G106" s="30"/>
      <c r="H106" s="30"/>
      <c r="I106" s="30"/>
      <c r="J106" s="33"/>
      <c r="K106" s="33"/>
      <c r="L106" s="30"/>
      <c r="M106" s="33"/>
      <c r="N106" s="30"/>
    </row>
    <row r="107" spans="1:14" x14ac:dyDescent="0.25">
      <c r="A107" s="30"/>
      <c r="B107" s="30"/>
      <c r="C107" s="30"/>
      <c r="D107" s="30"/>
      <c r="E107" s="30"/>
      <c r="F107" s="30"/>
      <c r="G107" s="30"/>
      <c r="H107" s="30"/>
      <c r="I107" s="30"/>
      <c r="J107" s="33"/>
      <c r="K107" s="33"/>
      <c r="L107" s="30"/>
      <c r="M107" s="33"/>
      <c r="N107" s="30"/>
    </row>
    <row r="108" spans="1:14" x14ac:dyDescent="0.25">
      <c r="A108" s="30"/>
      <c r="B108" s="30"/>
      <c r="C108" s="30"/>
      <c r="D108" s="30"/>
      <c r="E108" s="30"/>
      <c r="F108" s="30"/>
      <c r="G108" s="30"/>
      <c r="H108" s="30"/>
      <c r="I108" s="30"/>
      <c r="J108" s="33"/>
      <c r="K108" s="33"/>
      <c r="L108" s="30"/>
      <c r="M108" s="33"/>
      <c r="N108" s="30"/>
    </row>
    <row r="109" spans="1:14" x14ac:dyDescent="0.25">
      <c r="A109" s="30"/>
      <c r="B109" s="30"/>
      <c r="C109" s="30"/>
      <c r="D109" s="30"/>
      <c r="E109" s="30"/>
      <c r="F109" s="30"/>
      <c r="G109" s="30"/>
      <c r="H109" s="30"/>
      <c r="I109" s="30"/>
      <c r="J109" s="33"/>
      <c r="K109" s="33"/>
      <c r="L109" s="30"/>
      <c r="M109" s="33"/>
      <c r="N109" s="30"/>
    </row>
    <row r="110" spans="1:14" x14ac:dyDescent="0.25">
      <c r="A110" s="30"/>
      <c r="B110" s="30"/>
      <c r="C110" s="30"/>
      <c r="D110" s="30"/>
      <c r="E110" s="30"/>
      <c r="F110" s="30"/>
      <c r="G110" s="30"/>
      <c r="H110" s="30"/>
      <c r="I110" s="30"/>
      <c r="J110" s="33"/>
      <c r="K110" s="33"/>
      <c r="L110" s="30"/>
      <c r="M110" s="33"/>
      <c r="N110" s="30"/>
    </row>
    <row r="111" spans="1:14" x14ac:dyDescent="0.25">
      <c r="A111" s="30"/>
      <c r="B111" s="30"/>
      <c r="C111" s="30"/>
      <c r="D111" s="30"/>
      <c r="E111" s="30"/>
      <c r="F111" s="30"/>
      <c r="G111" s="30"/>
      <c r="H111" s="30"/>
      <c r="I111" s="30"/>
      <c r="J111" s="33"/>
      <c r="K111" s="33"/>
      <c r="L111" s="30"/>
      <c r="M111" s="33"/>
      <c r="N111" s="30"/>
    </row>
    <row r="112" spans="1:14" x14ac:dyDescent="0.25">
      <c r="A112" s="30"/>
      <c r="B112" s="30"/>
      <c r="C112" s="30"/>
      <c r="D112" s="30"/>
      <c r="E112" s="30"/>
      <c r="F112" s="30"/>
      <c r="G112" s="30"/>
      <c r="H112" s="30"/>
      <c r="I112" s="30"/>
      <c r="J112" s="33"/>
      <c r="K112" s="33"/>
      <c r="L112" s="30"/>
      <c r="M112" s="33"/>
      <c r="N112" s="30"/>
    </row>
    <row r="113" spans="1:14" x14ac:dyDescent="0.25">
      <c r="A113" s="30"/>
      <c r="B113" s="30"/>
      <c r="C113" s="30"/>
      <c r="D113" s="30"/>
      <c r="E113" s="30"/>
      <c r="F113" s="30"/>
      <c r="G113" s="30"/>
      <c r="H113" s="30"/>
      <c r="I113" s="30"/>
      <c r="J113" s="33"/>
      <c r="K113" s="33"/>
      <c r="L113" s="30"/>
      <c r="M113" s="33"/>
      <c r="N113" s="30"/>
    </row>
    <row r="114" spans="1:14" x14ac:dyDescent="0.25">
      <c r="A114" s="30"/>
      <c r="B114" s="30"/>
      <c r="C114" s="30"/>
      <c r="D114" s="30"/>
      <c r="E114" s="30"/>
      <c r="F114" s="30"/>
      <c r="G114" s="30"/>
      <c r="H114" s="30"/>
      <c r="I114" s="30"/>
      <c r="J114" s="33"/>
      <c r="K114" s="33"/>
      <c r="L114" s="30"/>
      <c r="M114" s="33"/>
      <c r="N114" s="30"/>
    </row>
    <row r="115" spans="1:14" x14ac:dyDescent="0.25">
      <c r="A115" s="30"/>
      <c r="B115" s="30"/>
      <c r="C115" s="30"/>
      <c r="D115" s="30"/>
      <c r="E115" s="30"/>
      <c r="F115" s="30"/>
      <c r="G115" s="30"/>
      <c r="H115" s="30"/>
      <c r="I115" s="30"/>
      <c r="J115" s="33"/>
      <c r="K115" s="33"/>
      <c r="L115" s="30"/>
      <c r="M115" s="33"/>
      <c r="N115" s="30"/>
    </row>
    <row r="116" spans="1:14" x14ac:dyDescent="0.25">
      <c r="A116" s="30"/>
      <c r="B116" s="30"/>
      <c r="C116" s="30"/>
      <c r="D116" s="30"/>
      <c r="E116" s="30"/>
      <c r="F116" s="30"/>
      <c r="G116" s="30"/>
      <c r="H116" s="30"/>
      <c r="I116" s="30"/>
      <c r="J116" s="33"/>
      <c r="K116" s="33"/>
      <c r="L116" s="30"/>
      <c r="M116" s="33"/>
      <c r="N116" s="30"/>
    </row>
    <row r="117" spans="1:14" x14ac:dyDescent="0.25">
      <c r="A117" s="30"/>
      <c r="B117" s="30"/>
      <c r="C117" s="30"/>
      <c r="D117" s="29"/>
      <c r="E117" s="29"/>
      <c r="F117" s="29"/>
      <c r="G117" s="30"/>
      <c r="H117" s="30"/>
      <c r="I117" s="30"/>
      <c r="J117" s="33"/>
      <c r="K117" s="33"/>
      <c r="L117" s="30"/>
      <c r="M117" s="33"/>
      <c r="N117" s="30"/>
    </row>
    <row r="118" spans="1:14" x14ac:dyDescent="0.25">
      <c r="A118" s="30"/>
      <c r="B118" s="30"/>
      <c r="C118" s="30"/>
      <c r="D118" s="30"/>
      <c r="E118" s="30"/>
      <c r="F118" s="29"/>
      <c r="G118" s="30"/>
      <c r="H118" s="30"/>
      <c r="I118" s="30"/>
      <c r="J118" s="33"/>
      <c r="K118" s="33"/>
      <c r="L118" s="30"/>
      <c r="M118" s="33"/>
      <c r="N118" s="30"/>
    </row>
    <row r="119" spans="1:14" x14ac:dyDescent="0.25">
      <c r="A119" s="30"/>
      <c r="B119" s="30"/>
      <c r="C119" s="30"/>
      <c r="D119" s="30"/>
      <c r="E119" s="30"/>
      <c r="F119" s="30"/>
      <c r="G119" s="30"/>
      <c r="H119" s="30"/>
      <c r="I119" s="30"/>
      <c r="J119" s="33"/>
      <c r="K119" s="33"/>
      <c r="L119" s="30"/>
      <c r="M119" s="33"/>
      <c r="N119" s="30"/>
    </row>
    <row r="120" spans="1:14" x14ac:dyDescent="0.25">
      <c r="A120" s="30"/>
      <c r="B120" s="30"/>
      <c r="C120" s="30"/>
      <c r="D120" s="30"/>
      <c r="E120" s="30"/>
      <c r="F120" s="30"/>
      <c r="G120" s="30"/>
      <c r="H120" s="30"/>
      <c r="I120" s="30"/>
      <c r="J120" s="33"/>
      <c r="K120" s="33"/>
      <c r="L120" s="30"/>
      <c r="M120" s="33"/>
      <c r="N120" s="30"/>
    </row>
    <row r="121" spans="1:14" x14ac:dyDescent="0.25">
      <c r="A121" s="30"/>
      <c r="B121" s="30"/>
      <c r="C121" s="30"/>
      <c r="D121" s="30"/>
      <c r="E121" s="30"/>
      <c r="F121" s="30"/>
      <c r="G121" s="30"/>
      <c r="H121" s="30"/>
      <c r="I121" s="30"/>
      <c r="J121" s="33"/>
      <c r="K121" s="33"/>
      <c r="L121" s="30"/>
      <c r="M121" s="33"/>
      <c r="N121" s="30"/>
    </row>
    <row r="122" spans="1:14" x14ac:dyDescent="0.25">
      <c r="A122" s="30"/>
      <c r="B122" s="30"/>
      <c r="C122" s="30"/>
      <c r="D122" s="30"/>
      <c r="E122" s="30"/>
      <c r="F122" s="30"/>
      <c r="G122" s="30"/>
      <c r="H122" s="30"/>
      <c r="I122" s="30"/>
      <c r="J122" s="33"/>
      <c r="K122" s="33"/>
      <c r="L122" s="30"/>
      <c r="M122" s="33"/>
      <c r="N122" s="30"/>
    </row>
    <row r="123" spans="1:14" x14ac:dyDescent="0.25">
      <c r="A123" s="30"/>
      <c r="B123" s="30"/>
      <c r="C123" s="30"/>
      <c r="D123" s="30"/>
      <c r="E123" s="30"/>
      <c r="F123" s="30"/>
      <c r="G123" s="30"/>
      <c r="H123" s="30"/>
      <c r="I123" s="30"/>
      <c r="J123" s="33"/>
      <c r="K123" s="33"/>
      <c r="L123" s="30"/>
      <c r="M123" s="33"/>
      <c r="N123" s="30"/>
    </row>
    <row r="124" spans="1:14" x14ac:dyDescent="0.25">
      <c r="A124" s="30"/>
      <c r="B124" s="30"/>
      <c r="C124" s="30"/>
      <c r="D124" s="30"/>
      <c r="E124" s="30"/>
      <c r="F124" s="30"/>
      <c r="G124" s="30"/>
      <c r="H124" s="30"/>
      <c r="I124" s="30"/>
      <c r="J124" s="33"/>
      <c r="K124" s="33"/>
      <c r="L124" s="30"/>
      <c r="M124" s="33"/>
      <c r="N124" s="30"/>
    </row>
    <row r="125" spans="1:14" x14ac:dyDescent="0.25">
      <c r="A125" s="30"/>
      <c r="B125" s="30"/>
      <c r="C125" s="30"/>
      <c r="D125" s="30"/>
      <c r="E125" s="30"/>
      <c r="F125" s="30"/>
      <c r="G125" s="30"/>
      <c r="H125" s="30"/>
      <c r="I125" s="30"/>
      <c r="J125" s="33"/>
      <c r="K125" s="33"/>
      <c r="L125" s="30"/>
      <c r="M125" s="33"/>
      <c r="N125" s="30"/>
    </row>
    <row r="126" spans="1:14" x14ac:dyDescent="0.25">
      <c r="A126" s="30"/>
      <c r="B126" s="30"/>
      <c r="C126" s="30"/>
      <c r="D126" s="30"/>
      <c r="E126" s="30"/>
      <c r="F126" s="30"/>
      <c r="G126" s="30"/>
      <c r="H126" s="30"/>
      <c r="I126" s="30"/>
      <c r="J126" s="33"/>
      <c r="K126" s="33"/>
      <c r="L126" s="30"/>
      <c r="M126" s="33"/>
      <c r="N126" s="30"/>
    </row>
    <row r="127" spans="1:14" x14ac:dyDescent="0.25">
      <c r="A127" s="30"/>
      <c r="B127" s="30"/>
      <c r="C127" s="30"/>
      <c r="D127" s="30"/>
      <c r="E127" s="30"/>
      <c r="F127" s="30"/>
      <c r="G127" s="30"/>
      <c r="H127" s="30"/>
      <c r="I127" s="30"/>
      <c r="J127" s="33"/>
      <c r="K127" s="33"/>
      <c r="L127" s="30"/>
      <c r="M127" s="33"/>
      <c r="N127" s="30"/>
    </row>
    <row r="128" spans="1:14" x14ac:dyDescent="0.25">
      <c r="A128" s="30"/>
      <c r="B128" s="30"/>
      <c r="C128" s="30"/>
      <c r="D128" s="30"/>
      <c r="E128" s="30"/>
      <c r="F128" s="30"/>
      <c r="G128" s="30"/>
      <c r="H128" s="30"/>
      <c r="I128" s="30"/>
      <c r="J128" s="33"/>
      <c r="K128" s="33"/>
      <c r="L128" s="30"/>
      <c r="M128" s="33"/>
      <c r="N128" s="30"/>
    </row>
    <row r="129" spans="1:14" x14ac:dyDescent="0.25">
      <c r="A129" s="30"/>
      <c r="B129" s="30"/>
      <c r="C129" s="30"/>
      <c r="D129" s="30"/>
      <c r="E129" s="30"/>
      <c r="F129" s="30"/>
      <c r="G129" s="30"/>
      <c r="H129" s="30"/>
      <c r="I129" s="30"/>
      <c r="J129" s="33"/>
      <c r="K129" s="33"/>
      <c r="L129" s="30"/>
      <c r="M129" s="33"/>
      <c r="N129" s="30"/>
    </row>
    <row r="130" spans="1:14" x14ac:dyDescent="0.25">
      <c r="A130" s="30"/>
      <c r="B130" s="30"/>
      <c r="C130" s="30"/>
      <c r="D130" s="30"/>
      <c r="E130" s="30"/>
      <c r="F130" s="30"/>
      <c r="G130" s="30"/>
      <c r="H130" s="30"/>
      <c r="I130" s="30"/>
      <c r="J130" s="33"/>
      <c r="K130" s="33"/>
      <c r="L130" s="30"/>
      <c r="M130" s="33"/>
      <c r="N130" s="30"/>
    </row>
    <row r="131" spans="1:14" x14ac:dyDescent="0.25">
      <c r="A131" s="30"/>
      <c r="B131" s="30"/>
      <c r="C131" s="30"/>
      <c r="D131" s="30"/>
      <c r="E131" s="30"/>
      <c r="F131" s="30"/>
      <c r="G131" s="30"/>
      <c r="H131" s="30"/>
      <c r="I131" s="30"/>
      <c r="J131" s="33"/>
      <c r="K131" s="33"/>
      <c r="L131" s="30"/>
      <c r="M131" s="33"/>
      <c r="N131" s="30"/>
    </row>
    <row r="132" spans="1:14" x14ac:dyDescent="0.25">
      <c r="A132" s="30"/>
      <c r="B132" s="30"/>
      <c r="C132" s="30"/>
      <c r="D132" s="30"/>
      <c r="E132" s="30"/>
      <c r="F132" s="30"/>
      <c r="G132" s="30"/>
      <c r="H132" s="30"/>
      <c r="I132" s="30"/>
      <c r="J132" s="33"/>
      <c r="K132" s="33"/>
      <c r="L132" s="30"/>
      <c r="M132" s="33"/>
      <c r="N132" s="30"/>
    </row>
    <row r="133" spans="1:14" x14ac:dyDescent="0.25">
      <c r="A133" s="30"/>
      <c r="B133" s="30"/>
      <c r="C133" s="30"/>
      <c r="D133" s="30"/>
      <c r="E133" s="30"/>
      <c r="F133" s="30"/>
      <c r="G133" s="30"/>
      <c r="H133" s="30"/>
      <c r="I133" s="30"/>
      <c r="J133" s="33"/>
      <c r="K133" s="33"/>
      <c r="L133" s="30"/>
      <c r="M133" s="33"/>
      <c r="N133" s="30"/>
    </row>
    <row r="134" spans="1:14" x14ac:dyDescent="0.25">
      <c r="A134" s="30"/>
      <c r="B134" s="30"/>
      <c r="C134" s="30"/>
      <c r="D134" s="30"/>
      <c r="E134" s="30"/>
      <c r="F134" s="30"/>
      <c r="G134" s="30"/>
      <c r="H134" s="30"/>
      <c r="I134" s="30"/>
      <c r="J134" s="33"/>
      <c r="K134" s="33"/>
      <c r="L134" s="30"/>
      <c r="M134" s="33"/>
      <c r="N134" s="30"/>
    </row>
    <row r="135" spans="1:14" x14ac:dyDescent="0.25">
      <c r="A135" s="30"/>
      <c r="B135" s="30"/>
      <c r="C135" s="30"/>
      <c r="D135" s="30"/>
      <c r="E135" s="30"/>
      <c r="F135" s="30"/>
      <c r="G135" s="30"/>
      <c r="H135" s="30"/>
      <c r="I135" s="30"/>
      <c r="J135" s="33"/>
      <c r="K135" s="33"/>
      <c r="L135" s="30"/>
      <c r="M135" s="33"/>
      <c r="N135" s="30"/>
    </row>
    <row r="136" spans="1:14" x14ac:dyDescent="0.25">
      <c r="A136" s="30"/>
      <c r="B136" s="30"/>
      <c r="C136" s="30"/>
      <c r="D136" s="30"/>
      <c r="E136" s="30"/>
      <c r="F136" s="30"/>
      <c r="G136" s="30"/>
      <c r="H136" s="30"/>
      <c r="I136" s="30"/>
      <c r="J136" s="33"/>
      <c r="K136" s="33"/>
      <c r="L136" s="30"/>
      <c r="M136" s="33"/>
      <c r="N136" s="30"/>
    </row>
    <row r="137" spans="1:14" x14ac:dyDescent="0.25">
      <c r="A137" s="30"/>
      <c r="B137" s="30"/>
      <c r="C137" s="30"/>
      <c r="D137" s="30"/>
      <c r="E137" s="30"/>
      <c r="F137" s="30"/>
      <c r="G137" s="30"/>
      <c r="H137" s="30"/>
      <c r="I137" s="30"/>
      <c r="J137" s="33"/>
      <c r="K137" s="33"/>
      <c r="L137" s="30"/>
      <c r="M137" s="33"/>
      <c r="N137" s="30"/>
    </row>
    <row r="138" spans="1:14" x14ac:dyDescent="0.25">
      <c r="A138" s="30"/>
      <c r="B138" s="30"/>
      <c r="C138" s="30"/>
      <c r="D138" s="30"/>
      <c r="E138" s="30"/>
      <c r="F138" s="30"/>
      <c r="G138" s="30"/>
      <c r="H138" s="30"/>
      <c r="I138" s="30"/>
      <c r="J138" s="33"/>
      <c r="K138" s="33"/>
      <c r="L138" s="30"/>
      <c r="M138" s="33"/>
      <c r="N138" s="30"/>
    </row>
    <row r="139" spans="1:14" x14ac:dyDescent="0.25">
      <c r="A139" s="30"/>
      <c r="B139" s="30"/>
      <c r="C139" s="30"/>
      <c r="D139" s="30"/>
      <c r="E139" s="30"/>
      <c r="F139" s="30"/>
      <c r="G139" s="30"/>
      <c r="H139" s="30"/>
      <c r="I139" s="30"/>
      <c r="J139" s="33"/>
      <c r="K139" s="33"/>
      <c r="L139" s="30"/>
      <c r="M139" s="33"/>
      <c r="N139" s="30"/>
    </row>
    <row r="140" spans="1:14" x14ac:dyDescent="0.25">
      <c r="A140" s="30"/>
      <c r="B140" s="30"/>
      <c r="C140" s="30"/>
      <c r="D140" s="30"/>
      <c r="E140" s="30"/>
      <c r="F140" s="30"/>
      <c r="G140" s="30"/>
      <c r="H140" s="30"/>
      <c r="I140" s="30"/>
      <c r="J140" s="33"/>
      <c r="K140" s="33"/>
      <c r="L140" s="30"/>
      <c r="M140" s="33"/>
      <c r="N140" s="30"/>
    </row>
    <row r="141" spans="1:14" x14ac:dyDescent="0.25">
      <c r="A141" s="30"/>
      <c r="B141" s="30"/>
      <c r="C141" s="30"/>
      <c r="D141" s="30"/>
      <c r="E141" s="30"/>
      <c r="F141" s="30"/>
      <c r="G141" s="30"/>
      <c r="H141" s="30"/>
      <c r="I141" s="30"/>
      <c r="J141" s="33"/>
      <c r="K141" s="33"/>
      <c r="L141" s="30"/>
      <c r="M141" s="33"/>
      <c r="N141" s="30"/>
    </row>
    <row r="142" spans="1:14" x14ac:dyDescent="0.25">
      <c r="A142" s="30"/>
      <c r="B142" s="30"/>
      <c r="C142" s="30"/>
      <c r="D142" s="30"/>
      <c r="E142" s="30"/>
      <c r="F142" s="30"/>
      <c r="G142" s="30"/>
      <c r="H142" s="30"/>
      <c r="I142" s="30"/>
      <c r="J142" s="33"/>
      <c r="K142" s="33"/>
      <c r="L142" s="30"/>
      <c r="M142" s="33"/>
      <c r="N142" s="30"/>
    </row>
    <row r="143" spans="1:14" x14ac:dyDescent="0.25">
      <c r="A143" s="30"/>
      <c r="B143" s="30"/>
      <c r="C143" s="30"/>
      <c r="D143" s="30"/>
      <c r="E143" s="30"/>
      <c r="F143" s="30"/>
      <c r="G143" s="30"/>
      <c r="H143" s="30"/>
      <c r="I143" s="30"/>
      <c r="J143" s="33"/>
      <c r="K143" s="33"/>
      <c r="L143" s="30"/>
      <c r="M143" s="33"/>
      <c r="N143" s="30"/>
    </row>
    <row r="144" spans="1:14" x14ac:dyDescent="0.25">
      <c r="A144" s="30"/>
      <c r="B144" s="30"/>
      <c r="C144" s="30"/>
      <c r="D144" s="30"/>
      <c r="E144" s="30"/>
      <c r="F144" s="30"/>
      <c r="G144" s="30"/>
      <c r="H144" s="30"/>
      <c r="I144" s="30"/>
      <c r="J144" s="33"/>
      <c r="K144" s="33"/>
      <c r="L144" s="30"/>
      <c r="M144" s="33"/>
      <c r="N144" s="30"/>
    </row>
    <row r="145" spans="1:14" x14ac:dyDescent="0.25">
      <c r="A145" s="30"/>
      <c r="B145" s="30"/>
      <c r="C145" s="30"/>
      <c r="D145" s="30"/>
      <c r="E145" s="30"/>
      <c r="F145" s="30"/>
      <c r="G145" s="30"/>
      <c r="H145" s="30"/>
      <c r="I145" s="30"/>
      <c r="J145" s="33"/>
      <c r="K145" s="33"/>
      <c r="L145" s="30"/>
      <c r="M145" s="33"/>
      <c r="N145" s="30"/>
    </row>
    <row r="146" spans="1:14" x14ac:dyDescent="0.25">
      <c r="A146" s="30"/>
      <c r="B146" s="30"/>
      <c r="C146" s="30"/>
      <c r="D146" s="30"/>
      <c r="E146" s="30"/>
      <c r="F146" s="30"/>
      <c r="G146" s="30"/>
      <c r="H146" s="30"/>
      <c r="I146" s="30"/>
      <c r="J146" s="33"/>
      <c r="K146" s="33"/>
      <c r="L146" s="30"/>
      <c r="M146" s="33"/>
      <c r="N146" s="30"/>
    </row>
    <row r="147" spans="1:14" x14ac:dyDescent="0.25">
      <c r="A147" s="30"/>
      <c r="B147" s="30"/>
      <c r="C147" s="30"/>
      <c r="D147" s="30"/>
      <c r="E147" s="30"/>
      <c r="F147" s="30"/>
      <c r="G147" s="30"/>
      <c r="H147" s="30"/>
      <c r="I147" s="30"/>
      <c r="J147" s="33"/>
      <c r="K147" s="33"/>
      <c r="L147" s="30"/>
      <c r="M147" s="33"/>
      <c r="N147" s="30"/>
    </row>
    <row r="148" spans="1:14" x14ac:dyDescent="0.25">
      <c r="A148" s="30"/>
      <c r="B148" s="30"/>
      <c r="C148" s="30"/>
      <c r="D148" s="30"/>
      <c r="E148" s="30"/>
      <c r="F148" s="30"/>
      <c r="G148" s="30"/>
      <c r="H148" s="30"/>
      <c r="I148" s="30"/>
      <c r="J148" s="33"/>
      <c r="K148" s="33"/>
      <c r="L148" s="30"/>
      <c r="M148" s="33"/>
      <c r="N148" s="30"/>
    </row>
    <row r="149" spans="1:14" x14ac:dyDescent="0.25">
      <c r="A149" s="30"/>
      <c r="B149" s="30"/>
      <c r="C149" s="30"/>
      <c r="D149" s="30"/>
      <c r="E149" s="30"/>
      <c r="F149" s="30"/>
      <c r="G149" s="30"/>
      <c r="H149" s="30"/>
      <c r="I149" s="30"/>
      <c r="J149" s="33"/>
      <c r="K149" s="33"/>
      <c r="L149" s="30"/>
      <c r="M149" s="33"/>
      <c r="N149" s="30"/>
    </row>
    <row r="150" spans="1:14" x14ac:dyDescent="0.25">
      <c r="A150" s="30"/>
      <c r="B150" s="30"/>
      <c r="C150" s="30"/>
      <c r="D150" s="30"/>
      <c r="E150" s="30"/>
      <c r="F150" s="30"/>
      <c r="G150" s="30"/>
      <c r="H150" s="30"/>
      <c r="I150" s="30"/>
      <c r="J150" s="33"/>
      <c r="K150" s="33"/>
      <c r="L150" s="30"/>
      <c r="M150" s="33"/>
      <c r="N150" s="30"/>
    </row>
    <row r="151" spans="1:14" x14ac:dyDescent="0.25">
      <c r="A151" s="30"/>
      <c r="B151" s="30"/>
      <c r="C151" s="30"/>
      <c r="D151" s="30"/>
      <c r="E151" s="30"/>
      <c r="F151" s="30"/>
      <c r="G151" s="30"/>
      <c r="H151" s="30"/>
      <c r="I151" s="30"/>
      <c r="J151" s="33"/>
      <c r="K151" s="33"/>
      <c r="L151" s="30"/>
      <c r="M151" s="33"/>
      <c r="N151" s="30"/>
    </row>
    <row r="152" spans="1:14" x14ac:dyDescent="0.25">
      <c r="A152" s="30"/>
      <c r="B152" s="30"/>
      <c r="C152" s="30"/>
      <c r="D152" s="30"/>
      <c r="E152" s="30"/>
      <c r="F152" s="30"/>
      <c r="G152" s="30"/>
      <c r="H152" s="30"/>
      <c r="I152" s="30"/>
      <c r="J152" s="33"/>
      <c r="K152" s="33"/>
      <c r="L152" s="30"/>
      <c r="M152" s="33"/>
      <c r="N152" s="30"/>
    </row>
    <row r="153" spans="1:14" x14ac:dyDescent="0.25">
      <c r="A153" s="30"/>
      <c r="B153" s="30"/>
      <c r="C153" s="30"/>
      <c r="D153" s="30"/>
      <c r="E153" s="30"/>
      <c r="F153" s="30"/>
      <c r="G153" s="30"/>
      <c r="H153" s="30"/>
      <c r="I153" s="30"/>
      <c r="J153" s="33"/>
      <c r="K153" s="33"/>
      <c r="L153" s="30"/>
      <c r="M153" s="33"/>
      <c r="N153" s="30"/>
    </row>
    <row r="154" spans="1:14" x14ac:dyDescent="0.25">
      <c r="A154" s="30"/>
      <c r="B154" s="30"/>
      <c r="C154" s="30"/>
      <c r="D154" s="30"/>
      <c r="E154" s="30"/>
      <c r="F154" s="30"/>
      <c r="G154" s="30"/>
      <c r="H154" s="30"/>
      <c r="I154" s="30"/>
      <c r="J154" s="33"/>
      <c r="K154" s="33"/>
      <c r="L154" s="30"/>
      <c r="M154" s="33"/>
      <c r="N154" s="30"/>
    </row>
    <row r="155" spans="1:14" x14ac:dyDescent="0.25">
      <c r="A155" s="30"/>
      <c r="B155" s="30"/>
      <c r="C155" s="30"/>
      <c r="D155" s="30"/>
      <c r="E155" s="30"/>
      <c r="F155" s="30"/>
      <c r="G155" s="30"/>
      <c r="H155" s="30"/>
      <c r="I155" s="30"/>
      <c r="J155" s="33"/>
      <c r="K155" s="33"/>
      <c r="L155" s="30"/>
      <c r="M155" s="33"/>
      <c r="N155" s="30"/>
    </row>
    <row r="156" spans="1:14" x14ac:dyDescent="0.25">
      <c r="A156" s="30"/>
      <c r="B156" s="30"/>
      <c r="C156" s="30"/>
      <c r="D156" s="30"/>
      <c r="E156" s="30"/>
      <c r="F156" s="30"/>
      <c r="G156" s="30"/>
      <c r="H156" s="30"/>
      <c r="I156" s="30"/>
      <c r="J156" s="33"/>
      <c r="K156" s="33"/>
      <c r="L156" s="30"/>
      <c r="M156" s="33"/>
      <c r="N156" s="30"/>
    </row>
    <row r="157" spans="1:14" x14ac:dyDescent="0.25">
      <c r="A157" s="30"/>
      <c r="B157" s="30"/>
      <c r="C157" s="30"/>
      <c r="D157" s="30"/>
      <c r="E157" s="30"/>
      <c r="F157" s="30"/>
      <c r="G157" s="30"/>
      <c r="H157" s="30"/>
      <c r="I157" s="30"/>
      <c r="J157" s="33"/>
      <c r="K157" s="33"/>
      <c r="L157" s="30"/>
      <c r="M157" s="33"/>
      <c r="N157" s="30"/>
    </row>
    <row r="158" spans="1:14" x14ac:dyDescent="0.25">
      <c r="A158" s="30"/>
      <c r="B158" s="30"/>
      <c r="C158" s="30"/>
      <c r="D158" s="30"/>
      <c r="E158" s="30"/>
      <c r="F158" s="30"/>
      <c r="G158" s="30"/>
      <c r="H158" s="30"/>
      <c r="I158" s="30"/>
      <c r="J158" s="33"/>
      <c r="K158" s="33"/>
      <c r="L158" s="30"/>
      <c r="M158" s="33"/>
      <c r="N158" s="30"/>
    </row>
    <row r="159" spans="1:14" x14ac:dyDescent="0.25">
      <c r="A159" s="30"/>
      <c r="B159" s="30"/>
      <c r="C159" s="30"/>
      <c r="D159" s="30"/>
      <c r="E159" s="30"/>
      <c r="F159" s="30"/>
      <c r="G159" s="30"/>
      <c r="H159" s="30"/>
      <c r="I159" s="30"/>
      <c r="J159" s="33"/>
      <c r="K159" s="33"/>
      <c r="L159" s="30"/>
      <c r="M159" s="33"/>
      <c r="N159" s="30"/>
    </row>
    <row r="160" spans="1:14" x14ac:dyDescent="0.25">
      <c r="A160" s="30"/>
      <c r="B160" s="30"/>
      <c r="C160" s="30"/>
      <c r="D160" s="30"/>
      <c r="E160" s="30"/>
      <c r="F160" s="30"/>
      <c r="G160" s="30"/>
      <c r="H160" s="30"/>
      <c r="I160" s="30"/>
      <c r="J160" s="33"/>
      <c r="K160" s="33"/>
      <c r="L160" s="30"/>
      <c r="M160" s="33"/>
      <c r="N160" s="30"/>
    </row>
    <row r="161" spans="1:14" x14ac:dyDescent="0.25">
      <c r="A161" s="30"/>
      <c r="B161" s="30"/>
      <c r="C161" s="30"/>
      <c r="D161" s="30"/>
      <c r="E161" s="30"/>
      <c r="F161" s="30"/>
      <c r="G161" s="30"/>
      <c r="H161" s="30"/>
      <c r="I161" s="30"/>
      <c r="J161" s="33"/>
      <c r="K161" s="33"/>
      <c r="L161" s="30"/>
      <c r="M161" s="33"/>
      <c r="N161" s="30"/>
    </row>
    <row r="162" spans="1:14" x14ac:dyDescent="0.25">
      <c r="A162" s="30"/>
      <c r="B162" s="30"/>
      <c r="C162" s="30"/>
      <c r="D162" s="30"/>
      <c r="E162" s="30"/>
      <c r="F162" s="30"/>
      <c r="G162" s="30"/>
      <c r="H162" s="30"/>
      <c r="I162" s="30"/>
      <c r="J162" s="33"/>
      <c r="K162" s="33"/>
      <c r="L162" s="30"/>
      <c r="M162" s="33"/>
      <c r="N162" s="30"/>
    </row>
    <row r="163" spans="1:14" x14ac:dyDescent="0.25">
      <c r="A163" s="30"/>
      <c r="B163" s="30"/>
      <c r="C163" s="30"/>
      <c r="D163" s="30"/>
      <c r="E163" s="30"/>
      <c r="F163" s="30"/>
      <c r="G163" s="30"/>
      <c r="H163" s="30"/>
      <c r="I163" s="30"/>
      <c r="J163" s="33"/>
      <c r="K163" s="33"/>
      <c r="L163" s="30"/>
      <c r="M163" s="33"/>
      <c r="N163" s="30"/>
    </row>
    <row r="164" spans="1:14" x14ac:dyDescent="0.25">
      <c r="A164" s="30"/>
      <c r="B164" s="30"/>
      <c r="C164" s="30"/>
      <c r="D164" s="30"/>
      <c r="E164" s="30"/>
      <c r="F164" s="30"/>
      <c r="G164" s="30"/>
      <c r="H164" s="30"/>
      <c r="I164" s="30"/>
      <c r="J164" s="33"/>
      <c r="K164" s="33"/>
      <c r="L164" s="30"/>
      <c r="M164" s="33"/>
      <c r="N164" s="30"/>
    </row>
    <row r="165" spans="1:14" x14ac:dyDescent="0.25">
      <c r="A165" s="30"/>
      <c r="B165" s="30"/>
      <c r="C165" s="30"/>
      <c r="D165" s="30"/>
      <c r="E165" s="30"/>
      <c r="F165" s="30"/>
      <c r="G165" s="30"/>
      <c r="H165" s="30"/>
      <c r="I165" s="30"/>
      <c r="J165" s="33"/>
      <c r="K165" s="33"/>
      <c r="L165" s="30"/>
      <c r="M165" s="33"/>
      <c r="N165" s="30"/>
    </row>
    <row r="166" spans="1:14" x14ac:dyDescent="0.25">
      <c r="A166" s="30"/>
      <c r="B166" s="30"/>
      <c r="C166" s="30"/>
      <c r="D166" s="30"/>
      <c r="E166" s="30"/>
      <c r="F166" s="30"/>
      <c r="G166" s="30"/>
      <c r="H166" s="30"/>
      <c r="I166" s="30"/>
      <c r="J166" s="33"/>
      <c r="K166" s="33"/>
      <c r="L166" s="30"/>
      <c r="M166" s="33"/>
      <c r="N166" s="30"/>
    </row>
    <row r="167" spans="1:14" x14ac:dyDescent="0.25">
      <c r="A167" s="30"/>
      <c r="B167" s="30"/>
      <c r="C167" s="30"/>
      <c r="D167" s="30"/>
      <c r="E167" s="30"/>
      <c r="F167" s="30"/>
      <c r="G167" s="30"/>
      <c r="H167" s="30"/>
      <c r="I167" s="30"/>
      <c r="J167" s="33"/>
      <c r="K167" s="33"/>
      <c r="L167" s="30"/>
      <c r="M167" s="33"/>
      <c r="N167" s="30"/>
    </row>
    <row r="168" spans="1:14" x14ac:dyDescent="0.25">
      <c r="A168" s="30"/>
      <c r="B168" s="30"/>
      <c r="C168" s="30"/>
      <c r="D168" s="30"/>
      <c r="E168" s="30"/>
      <c r="F168" s="30"/>
      <c r="G168" s="30"/>
      <c r="H168" s="30"/>
      <c r="I168" s="30"/>
      <c r="J168" s="33"/>
      <c r="K168" s="33"/>
      <c r="L168" s="30"/>
      <c r="M168" s="33"/>
      <c r="N168" s="30"/>
    </row>
    <row r="169" spans="1:14" x14ac:dyDescent="0.25">
      <c r="A169" s="30"/>
      <c r="B169" s="30"/>
      <c r="C169" s="30"/>
      <c r="D169" s="30"/>
      <c r="E169" s="30"/>
      <c r="F169" s="30"/>
      <c r="G169" s="30"/>
      <c r="H169" s="30"/>
      <c r="I169" s="30"/>
      <c r="J169" s="33"/>
      <c r="K169" s="33"/>
      <c r="L169" s="30"/>
      <c r="M169" s="33"/>
      <c r="N169" s="30"/>
    </row>
    <row r="170" spans="1:14" x14ac:dyDescent="0.25">
      <c r="A170" s="30"/>
      <c r="B170" s="30"/>
      <c r="C170" s="30"/>
      <c r="D170" s="30"/>
      <c r="E170" s="30"/>
      <c r="F170" s="30"/>
      <c r="G170" s="30"/>
      <c r="H170" s="30"/>
      <c r="I170" s="30"/>
      <c r="J170" s="33"/>
      <c r="K170" s="33"/>
      <c r="L170" s="30"/>
      <c r="M170" s="33"/>
      <c r="N170" s="30"/>
    </row>
    <row r="171" spans="1:14" x14ac:dyDescent="0.25">
      <c r="A171" s="30"/>
      <c r="B171" s="30"/>
      <c r="C171" s="30"/>
      <c r="D171" s="30"/>
      <c r="E171" s="30"/>
      <c r="F171" s="30"/>
      <c r="G171" s="30"/>
      <c r="H171" s="30"/>
      <c r="I171" s="30"/>
      <c r="J171" s="33"/>
      <c r="K171" s="33"/>
      <c r="L171" s="30"/>
      <c r="M171" s="33"/>
      <c r="N171" s="30"/>
    </row>
    <row r="172" spans="1:14" x14ac:dyDescent="0.25">
      <c r="A172" s="30"/>
      <c r="B172" s="30"/>
      <c r="C172" s="30"/>
      <c r="D172" s="30"/>
      <c r="E172" s="30"/>
      <c r="F172" s="30"/>
      <c r="G172" s="30"/>
      <c r="H172" s="30"/>
      <c r="I172" s="30"/>
      <c r="J172" s="33"/>
      <c r="K172" s="33"/>
      <c r="L172" s="30"/>
      <c r="M172" s="33"/>
      <c r="N172" s="30"/>
    </row>
    <row r="173" spans="1:14" x14ac:dyDescent="0.25">
      <c r="A173" s="30"/>
      <c r="B173" s="30"/>
      <c r="C173" s="30"/>
      <c r="D173" s="30"/>
      <c r="E173" s="30"/>
      <c r="F173" s="30"/>
      <c r="G173" s="30"/>
      <c r="H173" s="30"/>
      <c r="I173" s="30"/>
      <c r="J173" s="33"/>
      <c r="K173" s="33"/>
      <c r="L173" s="30"/>
      <c r="M173" s="33"/>
      <c r="N173" s="30"/>
    </row>
    <row r="174" spans="1:14" x14ac:dyDescent="0.25">
      <c r="A174" s="30"/>
      <c r="B174" s="30"/>
      <c r="C174" s="30"/>
      <c r="D174" s="30"/>
      <c r="E174" s="30"/>
      <c r="F174" s="30"/>
      <c r="G174" s="30"/>
      <c r="H174" s="30"/>
      <c r="I174" s="30"/>
      <c r="J174" s="33"/>
      <c r="K174" s="33"/>
      <c r="L174" s="30"/>
      <c r="M174" s="33"/>
      <c r="N174" s="30"/>
    </row>
    <row r="175" spans="1:14" x14ac:dyDescent="0.25">
      <c r="A175" s="30"/>
      <c r="B175" s="30"/>
      <c r="C175" s="30"/>
      <c r="D175" s="30"/>
      <c r="E175" s="30"/>
      <c r="F175" s="30"/>
      <c r="G175" s="30"/>
      <c r="H175" s="30"/>
      <c r="I175" s="30"/>
      <c r="J175" s="33"/>
      <c r="K175" s="33"/>
      <c r="L175" s="30"/>
      <c r="M175" s="33"/>
      <c r="N175" s="30"/>
    </row>
    <row r="176" spans="1:14" x14ac:dyDescent="0.25">
      <c r="A176" s="30"/>
      <c r="B176" s="30"/>
      <c r="C176" s="30"/>
      <c r="D176" s="30"/>
      <c r="E176" s="30"/>
      <c r="F176" s="30"/>
      <c r="G176" s="30"/>
      <c r="H176" s="30"/>
      <c r="I176" s="30"/>
      <c r="J176" s="33"/>
      <c r="K176" s="33"/>
      <c r="L176" s="30"/>
      <c r="M176" s="33"/>
      <c r="N176" s="30"/>
    </row>
    <row r="177" spans="1:14" x14ac:dyDescent="0.25">
      <c r="A177" s="30"/>
      <c r="B177" s="30"/>
      <c r="C177" s="30"/>
      <c r="D177" s="30"/>
      <c r="E177" s="30"/>
      <c r="F177" s="30"/>
      <c r="G177" s="30"/>
      <c r="H177" s="30"/>
      <c r="I177" s="30"/>
      <c r="J177" s="33"/>
      <c r="K177" s="33"/>
      <c r="L177" s="30"/>
      <c r="M177" s="33"/>
      <c r="N177" s="30"/>
    </row>
    <row r="178" spans="1:14" x14ac:dyDescent="0.25">
      <c r="A178" s="30"/>
      <c r="B178" s="30"/>
      <c r="C178" s="30"/>
      <c r="D178" s="30"/>
      <c r="E178" s="30"/>
      <c r="F178" s="30"/>
      <c r="G178" s="30"/>
      <c r="H178" s="30"/>
      <c r="I178" s="30"/>
      <c r="J178" s="33"/>
      <c r="K178" s="33"/>
      <c r="L178" s="30"/>
      <c r="M178" s="33"/>
      <c r="N178" s="30"/>
    </row>
    <row r="179" spans="1:14" x14ac:dyDescent="0.25">
      <c r="A179" s="30"/>
      <c r="B179" s="30"/>
      <c r="C179" s="30"/>
      <c r="D179" s="30"/>
      <c r="E179" s="30"/>
      <c r="F179" s="30"/>
      <c r="G179" s="30"/>
      <c r="H179" s="30"/>
      <c r="I179" s="30"/>
      <c r="J179" s="33"/>
      <c r="K179" s="33"/>
      <c r="L179" s="30"/>
      <c r="M179" s="33"/>
      <c r="N179" s="30"/>
    </row>
    <row r="180" spans="1:14" x14ac:dyDescent="0.25">
      <c r="A180" s="30"/>
      <c r="B180" s="30"/>
      <c r="C180" s="30"/>
      <c r="D180" s="30"/>
      <c r="E180" s="30"/>
      <c r="F180" s="30"/>
      <c r="G180" s="30"/>
      <c r="H180" s="30"/>
      <c r="I180" s="30"/>
      <c r="J180" s="33"/>
      <c r="K180" s="33"/>
      <c r="L180" s="30"/>
      <c r="M180" s="33"/>
      <c r="N180" s="30"/>
    </row>
    <row r="181" spans="1:14" x14ac:dyDescent="0.25">
      <c r="A181" s="30"/>
      <c r="B181" s="30"/>
      <c r="C181" s="30"/>
      <c r="D181" s="30"/>
      <c r="E181" s="30"/>
      <c r="F181" s="30"/>
      <c r="G181" s="30"/>
      <c r="H181" s="30"/>
      <c r="I181" s="30"/>
      <c r="J181" s="33"/>
      <c r="K181" s="33"/>
      <c r="L181" s="30"/>
      <c r="M181" s="33"/>
      <c r="N181" s="30"/>
    </row>
    <row r="182" spans="1:14" x14ac:dyDescent="0.25">
      <c r="A182" s="30"/>
      <c r="B182" s="30"/>
      <c r="C182" s="30"/>
      <c r="D182" s="30"/>
      <c r="E182" s="30"/>
      <c r="F182" s="30"/>
      <c r="G182" s="30"/>
      <c r="H182" s="30"/>
      <c r="I182" s="30"/>
      <c r="J182" s="33"/>
      <c r="K182" s="33"/>
      <c r="L182" s="30"/>
      <c r="M182" s="33"/>
      <c r="N182" s="30"/>
    </row>
    <row r="183" spans="1:14" x14ac:dyDescent="0.25">
      <c r="A183" s="30"/>
      <c r="B183" s="30"/>
      <c r="C183" s="30"/>
      <c r="D183" s="30"/>
      <c r="E183" s="30"/>
      <c r="F183" s="30"/>
      <c r="G183" s="30"/>
      <c r="H183" s="30"/>
      <c r="I183" s="30"/>
      <c r="J183" s="33"/>
      <c r="K183" s="33"/>
      <c r="L183" s="30"/>
      <c r="M183" s="33"/>
      <c r="N183" s="30"/>
    </row>
    <row r="184" spans="1:14" x14ac:dyDescent="0.25">
      <c r="A184" s="30"/>
      <c r="B184" s="30"/>
      <c r="C184" s="30"/>
      <c r="D184" s="30"/>
      <c r="E184" s="30"/>
      <c r="F184" s="30"/>
      <c r="G184" s="30"/>
      <c r="H184" s="30"/>
      <c r="I184" s="30"/>
      <c r="J184" s="33"/>
      <c r="K184" s="33"/>
      <c r="L184" s="30"/>
      <c r="M184" s="33"/>
      <c r="N184" s="30"/>
    </row>
    <row r="185" spans="1:14" x14ac:dyDescent="0.25">
      <c r="A185" s="30"/>
      <c r="B185" s="30"/>
      <c r="C185" s="30"/>
      <c r="D185" s="30"/>
      <c r="E185" s="30"/>
      <c r="F185" s="30"/>
      <c r="G185" s="30"/>
      <c r="H185" s="30"/>
      <c r="I185" s="30"/>
      <c r="J185" s="33"/>
      <c r="K185" s="33"/>
      <c r="L185" s="30"/>
      <c r="M185" s="33"/>
      <c r="N185" s="30"/>
    </row>
    <row r="186" spans="1:14" x14ac:dyDescent="0.25">
      <c r="A186" s="30"/>
      <c r="B186" s="30"/>
      <c r="C186" s="30"/>
      <c r="D186" s="30"/>
      <c r="E186" s="30"/>
      <c r="F186" s="30"/>
      <c r="G186" s="30"/>
      <c r="H186" s="30"/>
      <c r="I186" s="30"/>
      <c r="J186" s="33"/>
      <c r="K186" s="33"/>
      <c r="L186" s="30"/>
      <c r="M186" s="33"/>
      <c r="N186" s="30"/>
    </row>
    <row r="187" spans="1:14" x14ac:dyDescent="0.25">
      <c r="A187" s="30"/>
      <c r="B187" s="30"/>
      <c r="C187" s="30"/>
      <c r="D187" s="30"/>
      <c r="E187" s="30"/>
      <c r="F187" s="30"/>
      <c r="G187" s="30"/>
      <c r="H187" s="30"/>
      <c r="I187" s="30"/>
      <c r="J187" s="33"/>
      <c r="K187" s="33"/>
      <c r="L187" s="30"/>
      <c r="M187" s="33"/>
      <c r="N187" s="30"/>
    </row>
    <row r="188" spans="1:14" x14ac:dyDescent="0.25">
      <c r="A188" s="30"/>
      <c r="B188" s="30"/>
      <c r="C188" s="30"/>
      <c r="D188" s="30"/>
      <c r="E188" s="30"/>
      <c r="F188" s="30"/>
      <c r="G188" s="30"/>
      <c r="H188" s="30"/>
      <c r="I188" s="30"/>
      <c r="J188" s="33"/>
      <c r="K188" s="33"/>
      <c r="L188" s="30"/>
      <c r="M188" s="33"/>
      <c r="N188" s="30"/>
    </row>
    <row r="189" spans="1:14" x14ac:dyDescent="0.25">
      <c r="A189" s="30"/>
      <c r="B189" s="30"/>
      <c r="C189" s="30"/>
      <c r="D189" s="30"/>
      <c r="E189" s="30"/>
      <c r="F189" s="30"/>
      <c r="G189" s="30"/>
      <c r="H189" s="30"/>
      <c r="I189" s="30"/>
      <c r="J189" s="33"/>
      <c r="K189" s="33"/>
      <c r="L189" s="30"/>
      <c r="M189" s="33"/>
      <c r="N189" s="30"/>
    </row>
    <row r="190" spans="1:14" x14ac:dyDescent="0.25">
      <c r="A190" s="30"/>
      <c r="B190" s="30"/>
      <c r="C190" s="30"/>
      <c r="D190" s="30"/>
      <c r="E190" s="30"/>
      <c r="F190" s="30"/>
      <c r="G190" s="30"/>
      <c r="H190" s="30"/>
      <c r="I190" s="30"/>
      <c r="J190" s="33"/>
      <c r="K190" s="33"/>
      <c r="L190" s="30"/>
      <c r="M190" s="33"/>
      <c r="N190" s="30"/>
    </row>
    <row r="191" spans="1:14" x14ac:dyDescent="0.25">
      <c r="A191" s="30"/>
      <c r="B191" s="30"/>
      <c r="C191" s="30"/>
      <c r="D191" s="30"/>
      <c r="E191" s="30"/>
      <c r="F191" s="30"/>
      <c r="G191" s="30"/>
      <c r="H191" s="30"/>
      <c r="I191" s="30"/>
      <c r="J191" s="33"/>
      <c r="K191" s="33"/>
      <c r="L191" s="30"/>
      <c r="M191" s="33"/>
      <c r="N191" s="30"/>
    </row>
    <row r="192" spans="1:14" x14ac:dyDescent="0.25">
      <c r="A192" s="30"/>
      <c r="B192" s="30"/>
      <c r="C192" s="30"/>
      <c r="D192" s="30"/>
      <c r="E192" s="30"/>
      <c r="F192" s="30"/>
      <c r="G192" s="30"/>
      <c r="H192" s="30"/>
      <c r="I192" s="30"/>
      <c r="J192" s="33"/>
      <c r="K192" s="33"/>
      <c r="L192" s="30"/>
      <c r="M192" s="33"/>
      <c r="N192" s="30"/>
    </row>
    <row r="193" spans="1:14" x14ac:dyDescent="0.25">
      <c r="A193" s="30"/>
      <c r="B193" s="30"/>
      <c r="C193" s="30"/>
      <c r="D193" s="30"/>
      <c r="E193" s="30"/>
      <c r="F193" s="30"/>
      <c r="G193" s="30"/>
      <c r="H193" s="30"/>
      <c r="I193" s="30"/>
      <c r="J193" s="33"/>
      <c r="K193" s="33"/>
      <c r="L193" s="30"/>
      <c r="M193" s="33"/>
      <c r="N193" s="30"/>
    </row>
    <row r="194" spans="1:14" x14ac:dyDescent="0.25">
      <c r="A194" s="30"/>
      <c r="B194" s="30"/>
      <c r="C194" s="30"/>
      <c r="D194" s="30"/>
      <c r="E194" s="30"/>
      <c r="F194" s="30"/>
      <c r="G194" s="30"/>
      <c r="H194" s="30"/>
      <c r="I194" s="30"/>
      <c r="J194" s="33"/>
      <c r="K194" s="33"/>
      <c r="L194" s="30"/>
      <c r="M194" s="33"/>
      <c r="N194" s="30"/>
    </row>
    <row r="195" spans="1:14" x14ac:dyDescent="0.25">
      <c r="A195" s="30"/>
      <c r="B195" s="30"/>
      <c r="C195" s="30"/>
      <c r="D195" s="30"/>
      <c r="E195" s="30"/>
      <c r="F195" s="30"/>
      <c r="G195" s="30"/>
      <c r="H195" s="30"/>
      <c r="I195" s="30"/>
      <c r="J195" s="33"/>
      <c r="K195" s="33"/>
      <c r="L195" s="30"/>
      <c r="M195" s="33"/>
      <c r="N195" s="30"/>
    </row>
    <row r="196" spans="1:14" x14ac:dyDescent="0.25">
      <c r="A196" s="30"/>
      <c r="B196" s="30"/>
      <c r="C196" s="30"/>
      <c r="D196" s="30"/>
      <c r="E196" s="30"/>
      <c r="F196" s="30"/>
      <c r="G196" s="30"/>
      <c r="H196" s="30"/>
      <c r="I196" s="30"/>
      <c r="J196" s="33"/>
      <c r="K196" s="33"/>
      <c r="L196" s="30"/>
      <c r="M196" s="33"/>
      <c r="N196" s="30"/>
    </row>
    <row r="197" spans="1:14" x14ac:dyDescent="0.25">
      <c r="A197" s="30"/>
      <c r="B197" s="30"/>
      <c r="C197" s="30"/>
      <c r="D197" s="30"/>
      <c r="E197" s="30"/>
      <c r="F197" s="30"/>
      <c r="G197" s="30"/>
      <c r="H197" s="30"/>
      <c r="I197" s="30"/>
      <c r="J197" s="33"/>
      <c r="K197" s="33"/>
      <c r="L197" s="30"/>
      <c r="M197" s="33"/>
      <c r="N197" s="30"/>
    </row>
    <row r="198" spans="1:14" x14ac:dyDescent="0.25">
      <c r="A198" s="30"/>
      <c r="B198" s="30"/>
      <c r="C198" s="30"/>
      <c r="D198" s="30"/>
      <c r="E198" s="30"/>
      <c r="F198" s="30"/>
      <c r="G198" s="30"/>
      <c r="H198" s="30"/>
      <c r="I198" s="30"/>
      <c r="J198" s="33"/>
      <c r="K198" s="33"/>
      <c r="L198" s="30"/>
      <c r="M198" s="33"/>
      <c r="N198" s="30"/>
    </row>
    <row r="199" spans="1:14" x14ac:dyDescent="0.25">
      <c r="A199" s="30"/>
      <c r="B199" s="30"/>
      <c r="C199" s="30"/>
      <c r="D199" s="30"/>
      <c r="E199" s="30"/>
      <c r="F199" s="30"/>
      <c r="G199" s="30"/>
      <c r="H199" s="30"/>
      <c r="I199" s="30"/>
      <c r="J199" s="33"/>
      <c r="K199" s="33"/>
      <c r="L199" s="30"/>
      <c r="M199" s="33"/>
      <c r="N199" s="30"/>
    </row>
    <row r="200" spans="1:14" x14ac:dyDescent="0.25">
      <c r="A200" s="30"/>
      <c r="B200" s="30"/>
      <c r="C200" s="30"/>
      <c r="D200" s="30"/>
      <c r="E200" s="30"/>
      <c r="F200" s="30"/>
      <c r="G200" s="30"/>
      <c r="H200" s="30"/>
      <c r="I200" s="30"/>
      <c r="J200" s="33"/>
      <c r="K200" s="33"/>
      <c r="L200" s="30"/>
      <c r="M200" s="33"/>
      <c r="N200" s="30"/>
    </row>
    <row r="201" spans="1:14" x14ac:dyDescent="0.25">
      <c r="A201" s="30"/>
      <c r="B201" s="30"/>
      <c r="C201" s="30"/>
      <c r="D201" s="30"/>
      <c r="E201" s="30"/>
      <c r="F201" s="30"/>
      <c r="G201" s="30"/>
      <c r="H201" s="30"/>
      <c r="I201" s="30"/>
      <c r="J201" s="33"/>
      <c r="K201" s="33"/>
      <c r="L201" s="30"/>
      <c r="M201" s="33"/>
      <c r="N201" s="30"/>
    </row>
    <row r="202" spans="1:14" x14ac:dyDescent="0.25">
      <c r="A202" s="30"/>
      <c r="B202" s="30"/>
      <c r="C202" s="30"/>
      <c r="D202" s="30"/>
      <c r="E202" s="30"/>
      <c r="F202" s="30"/>
      <c r="G202" s="30"/>
      <c r="H202" s="30"/>
      <c r="I202" s="30"/>
      <c r="J202" s="33"/>
      <c r="K202" s="33"/>
      <c r="L202" s="30"/>
      <c r="M202" s="33"/>
      <c r="N202" s="30"/>
    </row>
    <row r="203" spans="1:14" x14ac:dyDescent="0.25">
      <c r="A203" s="30"/>
      <c r="B203" s="30"/>
      <c r="C203" s="30"/>
      <c r="D203" s="30"/>
      <c r="E203" s="30"/>
      <c r="F203" s="30"/>
      <c r="G203" s="30"/>
      <c r="H203" s="30"/>
      <c r="I203" s="30"/>
      <c r="J203" s="33"/>
      <c r="K203" s="33"/>
      <c r="L203" s="30"/>
      <c r="M203" s="33"/>
      <c r="N203" s="30"/>
    </row>
    <row r="204" spans="1:14" x14ac:dyDescent="0.25">
      <c r="A204" s="30"/>
      <c r="B204" s="30"/>
      <c r="C204" s="30"/>
      <c r="D204" s="30"/>
      <c r="E204" s="30"/>
      <c r="F204" s="30"/>
      <c r="G204" s="30"/>
      <c r="H204" s="30"/>
      <c r="I204" s="30"/>
      <c r="J204" s="33"/>
      <c r="K204" s="33"/>
      <c r="L204" s="30"/>
      <c r="M204" s="33"/>
      <c r="N204" s="30"/>
    </row>
    <row r="205" spans="1:14" x14ac:dyDescent="0.25">
      <c r="A205" s="30"/>
      <c r="B205" s="30"/>
      <c r="C205" s="30"/>
      <c r="D205" s="30"/>
      <c r="E205" s="30"/>
      <c r="F205" s="30"/>
      <c r="G205" s="30"/>
      <c r="H205" s="30"/>
      <c r="I205" s="30"/>
      <c r="J205" s="33"/>
      <c r="K205" s="33"/>
      <c r="L205" s="30"/>
      <c r="M205" s="33"/>
      <c r="N205" s="30"/>
    </row>
    <row r="206" spans="1:14" x14ac:dyDescent="0.25">
      <c r="A206" s="30"/>
      <c r="B206" s="30"/>
      <c r="C206" s="30"/>
      <c r="D206" s="30"/>
      <c r="E206" s="30"/>
      <c r="F206" s="30"/>
      <c r="G206" s="30"/>
      <c r="H206" s="30"/>
      <c r="I206" s="30"/>
      <c r="J206" s="33"/>
      <c r="K206" s="33"/>
      <c r="L206" s="30"/>
      <c r="M206" s="33"/>
      <c r="N206" s="30"/>
    </row>
    <row r="207" spans="1:14" x14ac:dyDescent="0.25">
      <c r="A207" s="30"/>
      <c r="B207" s="30"/>
      <c r="C207" s="30"/>
      <c r="D207" s="30"/>
      <c r="E207" s="30"/>
      <c r="F207" s="30"/>
      <c r="G207" s="30"/>
      <c r="H207" s="30"/>
      <c r="I207" s="30"/>
      <c r="J207" s="33"/>
      <c r="K207" s="33"/>
      <c r="L207" s="30"/>
      <c r="M207" s="33"/>
      <c r="N207" s="30"/>
    </row>
    <row r="208" spans="1:14" x14ac:dyDescent="0.25">
      <c r="A208" s="30"/>
      <c r="B208" s="30"/>
      <c r="C208" s="30"/>
      <c r="D208" s="30"/>
      <c r="E208" s="30"/>
      <c r="F208" s="30"/>
      <c r="G208" s="30"/>
      <c r="H208" s="30"/>
      <c r="I208" s="30"/>
      <c r="J208" s="33"/>
      <c r="K208" s="33"/>
      <c r="L208" s="30"/>
      <c r="M208" s="33"/>
      <c r="N208" s="30"/>
    </row>
    <row r="209" spans="1:15" x14ac:dyDescent="0.25">
      <c r="A209" s="30"/>
      <c r="B209" s="30"/>
      <c r="C209" s="30"/>
      <c r="D209" s="30"/>
      <c r="E209" s="30"/>
      <c r="F209" s="30"/>
      <c r="G209" s="30"/>
      <c r="H209" s="30"/>
      <c r="I209" s="30"/>
      <c r="J209" s="33"/>
      <c r="K209" s="33"/>
      <c r="L209" s="30"/>
      <c r="M209" s="33"/>
      <c r="N209" s="30"/>
    </row>
    <row r="210" spans="1:15" x14ac:dyDescent="0.25">
      <c r="A210" s="30"/>
      <c r="B210" s="30"/>
      <c r="C210" s="30"/>
      <c r="D210" s="30"/>
      <c r="E210" s="30"/>
      <c r="F210" s="30"/>
      <c r="G210" s="30"/>
      <c r="H210" s="30"/>
      <c r="I210" s="30"/>
      <c r="J210" s="33"/>
      <c r="K210" s="33"/>
      <c r="L210" s="30"/>
      <c r="M210" s="33"/>
      <c r="N210" s="30"/>
    </row>
    <row r="211" spans="1:15" x14ac:dyDescent="0.25">
      <c r="A211" s="30"/>
      <c r="B211" s="30"/>
      <c r="C211" s="30"/>
      <c r="D211" s="30"/>
      <c r="E211" s="30"/>
      <c r="F211" s="30"/>
      <c r="G211" s="30"/>
      <c r="H211" s="30"/>
      <c r="I211" s="30"/>
      <c r="J211" s="33"/>
      <c r="K211" s="33"/>
      <c r="L211" s="30"/>
      <c r="M211" s="33"/>
      <c r="N211" s="30"/>
    </row>
    <row r="212" spans="1:15" x14ac:dyDescent="0.25">
      <c r="A212" s="30"/>
      <c r="B212" s="30"/>
      <c r="C212" s="30"/>
      <c r="D212" s="30"/>
      <c r="E212" s="30"/>
      <c r="F212" s="30"/>
      <c r="G212" s="30"/>
      <c r="H212" s="30"/>
      <c r="I212" s="30"/>
      <c r="J212" s="33"/>
      <c r="K212" s="33"/>
      <c r="L212" s="30"/>
      <c r="M212" s="33"/>
      <c r="N212" s="30"/>
    </row>
    <row r="213" spans="1:15" x14ac:dyDescent="0.25">
      <c r="A213" s="30"/>
      <c r="B213" s="30"/>
      <c r="C213" s="30"/>
      <c r="D213" s="30"/>
      <c r="E213" s="30"/>
      <c r="F213" s="30"/>
      <c r="G213" s="30"/>
      <c r="H213" s="30"/>
      <c r="I213" s="30"/>
      <c r="J213" s="33"/>
      <c r="K213" s="33"/>
      <c r="L213" s="30"/>
      <c r="M213" s="33"/>
      <c r="N213" s="30"/>
    </row>
    <row r="214" spans="1:15" x14ac:dyDescent="0.25">
      <c r="A214" s="30"/>
      <c r="B214" s="30"/>
      <c r="C214" s="30"/>
      <c r="D214" s="30"/>
      <c r="E214" s="30"/>
      <c r="F214" s="30"/>
      <c r="G214" s="30"/>
      <c r="H214" s="30"/>
      <c r="I214" s="30"/>
      <c r="J214" s="33"/>
      <c r="K214" s="33"/>
      <c r="L214" s="30"/>
      <c r="M214" s="33"/>
      <c r="N214" s="30"/>
    </row>
    <row r="215" spans="1:15" x14ac:dyDescent="0.25">
      <c r="A215" s="30"/>
      <c r="B215" s="30"/>
      <c r="C215" s="30"/>
      <c r="D215" s="30"/>
      <c r="E215" s="30"/>
      <c r="F215" s="30"/>
      <c r="G215" s="30"/>
      <c r="H215" s="30"/>
      <c r="I215" s="30"/>
      <c r="J215" s="33"/>
      <c r="K215" s="33"/>
      <c r="L215" s="30"/>
      <c r="M215" s="33"/>
      <c r="N215" s="30"/>
    </row>
    <row r="216" spans="1:15" x14ac:dyDescent="0.25">
      <c r="A216" s="30"/>
      <c r="B216" s="30"/>
      <c r="C216" s="30"/>
      <c r="D216" s="30"/>
      <c r="E216" s="30"/>
      <c r="F216" s="30"/>
      <c r="G216" s="30"/>
      <c r="H216" s="30"/>
      <c r="I216" s="30"/>
      <c r="J216" s="33"/>
      <c r="K216" s="33"/>
      <c r="L216" s="30"/>
      <c r="M216" s="33"/>
      <c r="N216" s="30"/>
    </row>
    <row r="217" spans="1:15" s="8" customFormat="1" x14ac:dyDescent="0.25">
      <c r="A217" s="30"/>
      <c r="B217" s="30"/>
      <c r="C217" s="30"/>
      <c r="D217" s="30"/>
      <c r="E217" s="30"/>
      <c r="F217" s="30"/>
      <c r="G217" s="30"/>
      <c r="H217" s="30"/>
      <c r="I217" s="30"/>
      <c r="J217" s="33"/>
      <c r="K217" s="33"/>
      <c r="L217" s="30"/>
      <c r="M217" s="33"/>
      <c r="N217" s="30"/>
      <c r="O217" s="24"/>
    </row>
    <row r="218" spans="1:15" s="8" customFormat="1" x14ac:dyDescent="0.25">
      <c r="A218" s="30"/>
      <c r="B218" s="30"/>
      <c r="C218" s="30"/>
      <c r="D218" s="30"/>
      <c r="E218" s="30"/>
      <c r="F218" s="30"/>
      <c r="G218" s="30"/>
      <c r="H218" s="30"/>
      <c r="I218" s="30"/>
      <c r="J218" s="33"/>
      <c r="K218" s="33"/>
      <c r="L218" s="30"/>
      <c r="M218" s="33"/>
      <c r="N218" s="30"/>
      <c r="O218" s="24"/>
    </row>
    <row r="219" spans="1:15" x14ac:dyDescent="0.25">
      <c r="A219" s="30"/>
      <c r="B219" s="30"/>
      <c r="C219" s="30"/>
      <c r="D219" s="30"/>
      <c r="E219" s="30"/>
      <c r="F219" s="30"/>
      <c r="G219" s="30"/>
      <c r="H219" s="30"/>
      <c r="I219" s="30"/>
      <c r="J219" s="33"/>
      <c r="K219" s="33"/>
      <c r="L219" s="30"/>
      <c r="M219" s="33"/>
      <c r="N219" s="30"/>
    </row>
    <row r="220" spans="1:15" x14ac:dyDescent="0.25">
      <c r="A220" s="30"/>
      <c r="B220" s="30"/>
      <c r="C220" s="30"/>
      <c r="D220" s="30"/>
      <c r="E220" s="30"/>
      <c r="F220" s="30"/>
      <c r="G220" s="30"/>
      <c r="H220" s="30"/>
      <c r="I220" s="30"/>
      <c r="J220" s="33"/>
      <c r="K220" s="33"/>
      <c r="L220" s="30"/>
      <c r="M220" s="33"/>
      <c r="N220" s="30"/>
    </row>
    <row r="221" spans="1:15" x14ac:dyDescent="0.25">
      <c r="A221" s="30"/>
      <c r="B221" s="30"/>
      <c r="C221" s="30"/>
      <c r="D221" s="30"/>
      <c r="E221" s="30"/>
      <c r="F221" s="30"/>
      <c r="G221" s="30"/>
      <c r="H221" s="30"/>
      <c r="I221" s="30"/>
      <c r="J221" s="33"/>
      <c r="K221" s="33"/>
      <c r="L221" s="30"/>
      <c r="M221" s="33"/>
      <c r="N221" s="30"/>
    </row>
    <row r="222" spans="1:15" x14ac:dyDescent="0.25">
      <c r="A222" s="30"/>
      <c r="B222" s="30"/>
      <c r="C222" s="30"/>
      <c r="D222" s="30"/>
      <c r="E222" s="30"/>
      <c r="F222" s="30"/>
      <c r="G222" s="30"/>
      <c r="H222" s="30"/>
      <c r="I222" s="30"/>
      <c r="J222" s="33"/>
      <c r="K222" s="33"/>
      <c r="L222" s="30"/>
      <c r="M222" s="33"/>
      <c r="N222" s="30"/>
    </row>
    <row r="223" spans="1:15" x14ac:dyDescent="0.25">
      <c r="A223" s="30"/>
      <c r="B223" s="30"/>
      <c r="C223" s="30"/>
      <c r="D223" s="30"/>
      <c r="E223" s="30"/>
      <c r="F223" s="30"/>
      <c r="G223" s="30"/>
      <c r="H223" s="30"/>
      <c r="I223" s="30"/>
      <c r="J223" s="33"/>
      <c r="K223" s="33"/>
      <c r="L223" s="30"/>
      <c r="M223" s="33"/>
      <c r="N223" s="30"/>
    </row>
    <row r="224" spans="1:15" x14ac:dyDescent="0.25">
      <c r="A224" s="30"/>
      <c r="B224" s="30"/>
      <c r="C224" s="30"/>
      <c r="D224" s="30"/>
      <c r="E224" s="30"/>
      <c r="F224" s="30"/>
      <c r="G224" s="30"/>
      <c r="H224" s="30"/>
      <c r="I224" s="30"/>
      <c r="J224" s="33"/>
      <c r="K224" s="33"/>
      <c r="L224" s="30"/>
      <c r="M224" s="33"/>
      <c r="N224" s="30"/>
    </row>
    <row r="225" spans="1:14" x14ac:dyDescent="0.25">
      <c r="A225" s="30"/>
      <c r="B225" s="30"/>
      <c r="C225" s="30"/>
      <c r="D225" s="30"/>
      <c r="E225" s="30"/>
      <c r="F225" s="30"/>
      <c r="G225" s="30"/>
      <c r="H225" s="30"/>
      <c r="I225" s="30"/>
      <c r="J225" s="33"/>
      <c r="K225" s="33"/>
      <c r="L225" s="30"/>
      <c r="M225" s="33"/>
      <c r="N225" s="30"/>
    </row>
    <row r="226" spans="1:14" x14ac:dyDescent="0.25">
      <c r="A226" s="30"/>
      <c r="B226" s="30"/>
      <c r="C226" s="30"/>
      <c r="D226" s="30"/>
      <c r="E226" s="30"/>
      <c r="F226" s="30"/>
      <c r="G226" s="30"/>
      <c r="H226" s="30"/>
      <c r="I226" s="30"/>
      <c r="J226" s="33"/>
      <c r="K226" s="33"/>
      <c r="L226" s="30"/>
      <c r="M226" s="33"/>
      <c r="N226" s="30"/>
    </row>
    <row r="227" spans="1:14" x14ac:dyDescent="0.25">
      <c r="A227" s="30"/>
      <c r="B227" s="30"/>
      <c r="C227" s="30"/>
      <c r="D227" s="30"/>
      <c r="E227" s="30"/>
      <c r="F227" s="30"/>
      <c r="G227" s="30"/>
      <c r="H227" s="30"/>
      <c r="I227" s="30"/>
      <c r="J227" s="33"/>
      <c r="K227" s="33"/>
      <c r="L227" s="30"/>
      <c r="M227" s="33"/>
      <c r="N227" s="30"/>
    </row>
    <row r="228" spans="1:14" x14ac:dyDescent="0.25">
      <c r="A228" s="30"/>
      <c r="B228" s="30"/>
      <c r="C228" s="30"/>
      <c r="D228" s="30"/>
      <c r="E228" s="30"/>
      <c r="F228" s="30"/>
      <c r="G228" s="30"/>
      <c r="H228" s="30"/>
      <c r="I228" s="30"/>
      <c r="J228" s="33"/>
      <c r="K228" s="33"/>
      <c r="L228" s="30"/>
      <c r="M228" s="33"/>
      <c r="N228" s="30"/>
    </row>
    <row r="229" spans="1:14" x14ac:dyDescent="0.25">
      <c r="A229" s="30"/>
      <c r="B229" s="30"/>
      <c r="C229" s="30"/>
      <c r="D229" s="30"/>
      <c r="E229" s="30"/>
      <c r="F229" s="30"/>
      <c r="G229" s="30"/>
      <c r="H229" s="30"/>
      <c r="I229" s="30"/>
      <c r="J229" s="33"/>
      <c r="K229" s="33"/>
      <c r="L229" s="30"/>
      <c r="M229" s="33"/>
      <c r="N229" s="30"/>
    </row>
    <row r="230" spans="1:14" x14ac:dyDescent="0.25">
      <c r="A230" s="30"/>
      <c r="B230" s="30"/>
      <c r="C230" s="30"/>
      <c r="D230" s="30"/>
      <c r="E230" s="30"/>
      <c r="F230" s="30"/>
      <c r="G230" s="30"/>
      <c r="H230" s="30"/>
      <c r="I230" s="30"/>
      <c r="J230" s="33"/>
      <c r="K230" s="33"/>
      <c r="L230" s="30"/>
      <c r="M230" s="33"/>
      <c r="N230" s="30"/>
    </row>
    <row r="231" spans="1:14" x14ac:dyDescent="0.25">
      <c r="A231" s="30"/>
      <c r="B231" s="30"/>
      <c r="C231" s="30"/>
      <c r="D231" s="30"/>
      <c r="E231" s="30"/>
      <c r="F231" s="30"/>
      <c r="G231" s="30"/>
      <c r="H231" s="30"/>
      <c r="I231" s="30"/>
      <c r="J231" s="33"/>
      <c r="K231" s="33"/>
      <c r="L231" s="30"/>
      <c r="M231" s="33"/>
      <c r="N231" s="30"/>
    </row>
    <row r="232" spans="1:14" x14ac:dyDescent="0.25">
      <c r="A232" s="30"/>
      <c r="B232" s="30"/>
      <c r="C232" s="30"/>
      <c r="D232" s="30"/>
      <c r="E232" s="30"/>
      <c r="F232" s="30"/>
      <c r="G232" s="30"/>
      <c r="H232" s="30"/>
      <c r="I232" s="30"/>
      <c r="J232" s="33"/>
      <c r="K232" s="33"/>
      <c r="L232" s="30"/>
      <c r="M232" s="33"/>
      <c r="N232" s="30"/>
    </row>
    <row r="233" spans="1:14" x14ac:dyDescent="0.25">
      <c r="A233" s="30"/>
      <c r="B233" s="30"/>
      <c r="C233" s="30"/>
      <c r="D233" s="30"/>
      <c r="E233" s="30"/>
      <c r="F233" s="30"/>
      <c r="G233" s="30"/>
      <c r="H233" s="30"/>
      <c r="I233" s="30"/>
      <c r="J233" s="33"/>
      <c r="K233" s="33"/>
      <c r="L233" s="30"/>
      <c r="M233" s="33"/>
      <c r="N233" s="30"/>
    </row>
    <row r="234" spans="1:14" x14ac:dyDescent="0.25">
      <c r="A234" s="30"/>
      <c r="B234" s="30"/>
      <c r="C234" s="30"/>
      <c r="D234" s="30"/>
      <c r="E234" s="30"/>
      <c r="F234" s="30"/>
      <c r="G234" s="30"/>
      <c r="H234" s="30"/>
      <c r="I234" s="30"/>
      <c r="J234" s="33"/>
      <c r="K234" s="33"/>
      <c r="L234" s="30"/>
      <c r="M234" s="33"/>
      <c r="N234" s="30"/>
    </row>
    <row r="235" spans="1:14" x14ac:dyDescent="0.25">
      <c r="A235" s="30"/>
      <c r="B235" s="30"/>
      <c r="C235" s="30"/>
      <c r="D235" s="30"/>
      <c r="E235" s="30"/>
      <c r="F235" s="30"/>
      <c r="G235" s="30"/>
      <c r="H235" s="30"/>
      <c r="I235" s="30"/>
      <c r="J235" s="33"/>
      <c r="K235" s="33"/>
      <c r="L235" s="30"/>
      <c r="M235" s="33"/>
      <c r="N235" s="30"/>
    </row>
    <row r="236" spans="1:14" x14ac:dyDescent="0.25">
      <c r="A236" s="30"/>
      <c r="B236" s="30"/>
      <c r="C236" s="30"/>
      <c r="D236" s="30"/>
      <c r="E236" s="30"/>
      <c r="F236" s="30"/>
      <c r="G236" s="30"/>
      <c r="H236" s="30"/>
      <c r="I236" s="30"/>
      <c r="J236" s="33"/>
      <c r="K236" s="33"/>
      <c r="L236" s="30"/>
      <c r="M236" s="33"/>
      <c r="N236" s="30"/>
    </row>
    <row r="237" spans="1:14" x14ac:dyDescent="0.25">
      <c r="A237" s="30"/>
      <c r="B237" s="30"/>
      <c r="C237" s="30"/>
      <c r="D237" s="30"/>
      <c r="E237" s="30"/>
      <c r="F237" s="30"/>
      <c r="G237" s="30"/>
      <c r="H237" s="30"/>
      <c r="I237" s="30"/>
      <c r="J237" s="33"/>
      <c r="K237" s="33"/>
      <c r="L237" s="30"/>
      <c r="M237" s="33"/>
      <c r="N237" s="30"/>
    </row>
    <row r="238" spans="1:14" x14ac:dyDescent="0.25">
      <c r="A238" s="30"/>
      <c r="B238" s="30"/>
      <c r="C238" s="30"/>
      <c r="D238" s="30"/>
      <c r="E238" s="30"/>
      <c r="F238" s="30"/>
      <c r="G238" s="30"/>
      <c r="H238" s="30"/>
      <c r="I238" s="30"/>
      <c r="J238" s="33"/>
      <c r="K238" s="33"/>
      <c r="L238" s="30"/>
      <c r="M238" s="33"/>
      <c r="N238" s="30"/>
    </row>
    <row r="239" spans="1:14" x14ac:dyDescent="0.25">
      <c r="A239" s="30"/>
      <c r="B239" s="30"/>
      <c r="C239" s="30"/>
      <c r="D239" s="30"/>
      <c r="E239" s="30"/>
      <c r="F239" s="30"/>
      <c r="G239" s="30"/>
      <c r="H239" s="30"/>
      <c r="I239" s="30"/>
      <c r="J239" s="33"/>
      <c r="K239" s="33"/>
      <c r="L239" s="30"/>
      <c r="M239" s="33"/>
      <c r="N239" s="30"/>
    </row>
    <row r="240" spans="1:14" x14ac:dyDescent="0.25">
      <c r="A240" s="30"/>
      <c r="B240" s="30"/>
      <c r="C240" s="30"/>
      <c r="D240" s="30"/>
      <c r="E240" s="30"/>
      <c r="F240" s="30"/>
      <c r="G240" s="30"/>
      <c r="H240" s="30"/>
      <c r="I240" s="30"/>
      <c r="J240" s="33"/>
      <c r="K240" s="33"/>
      <c r="L240" s="30"/>
      <c r="M240" s="33"/>
      <c r="N240" s="30"/>
    </row>
    <row r="241" spans="1:12" x14ac:dyDescent="0.25">
      <c r="A241" s="32"/>
      <c r="B241" s="32"/>
      <c r="C241" s="32"/>
      <c r="D241" s="32"/>
      <c r="E241" s="32"/>
      <c r="F241" s="32"/>
      <c r="G241" s="32"/>
      <c r="H241" s="32"/>
      <c r="I241" s="32"/>
      <c r="J241" s="37"/>
      <c r="K241" s="37"/>
      <c r="L241" s="32"/>
    </row>
    <row r="242" spans="1:12" x14ac:dyDescent="0.25">
      <c r="A242" s="32"/>
      <c r="B242" s="32"/>
      <c r="C242" s="32"/>
      <c r="D242" s="32"/>
      <c r="E242" s="32"/>
      <c r="F242" s="32"/>
      <c r="G242" s="32"/>
      <c r="H242" s="32"/>
      <c r="I242" s="32"/>
      <c r="J242" s="37"/>
      <c r="K242" s="37"/>
      <c r="L242" s="32"/>
    </row>
    <row r="243" spans="1:12" x14ac:dyDescent="0.25">
      <c r="A243" s="32"/>
      <c r="B243" s="32"/>
      <c r="C243" s="32"/>
      <c r="D243" s="32"/>
      <c r="E243" s="32"/>
      <c r="F243" s="32"/>
      <c r="G243" s="32"/>
      <c r="H243" s="32"/>
      <c r="I243" s="32"/>
      <c r="J243" s="37"/>
      <c r="K243" s="37"/>
      <c r="L243" s="32"/>
    </row>
    <row r="244" spans="1:12" x14ac:dyDescent="0.25">
      <c r="A244" s="32"/>
      <c r="B244" s="32"/>
      <c r="C244" s="32"/>
      <c r="D244" s="32"/>
      <c r="E244" s="32"/>
      <c r="F244" s="32"/>
      <c r="G244" s="32"/>
      <c r="H244" s="32"/>
      <c r="I244" s="32"/>
      <c r="J244" s="37"/>
      <c r="K244" s="37"/>
      <c r="L244" s="32"/>
    </row>
    <row r="245" spans="1:12" x14ac:dyDescent="0.25">
      <c r="A245" s="32"/>
      <c r="B245" s="32"/>
      <c r="C245" s="32"/>
      <c r="D245" s="32"/>
      <c r="E245" s="32"/>
      <c r="F245" s="32"/>
      <c r="G245" s="32"/>
      <c r="H245" s="32"/>
      <c r="I245" s="32"/>
      <c r="J245" s="37"/>
      <c r="K245" s="37"/>
      <c r="L245" s="32"/>
    </row>
    <row r="246" spans="1:12" x14ac:dyDescent="0.25">
      <c r="A246" s="32"/>
      <c r="B246" s="32"/>
      <c r="C246" s="32"/>
      <c r="D246" s="32"/>
      <c r="E246" s="32"/>
      <c r="F246" s="32"/>
      <c r="G246" s="32"/>
      <c r="H246" s="32"/>
      <c r="I246" s="32"/>
      <c r="J246" s="37"/>
      <c r="K246" s="37"/>
      <c r="L246" s="32"/>
    </row>
    <row r="247" spans="1:12" x14ac:dyDescent="0.25">
      <c r="A247" s="32"/>
      <c r="B247" s="32"/>
      <c r="C247" s="32"/>
      <c r="D247" s="32"/>
      <c r="E247" s="32"/>
      <c r="F247" s="32"/>
      <c r="G247" s="32"/>
      <c r="H247" s="32"/>
      <c r="I247" s="32"/>
      <c r="J247" s="37"/>
      <c r="K247" s="37"/>
      <c r="L247" s="32"/>
    </row>
    <row r="248" spans="1:12" x14ac:dyDescent="0.25">
      <c r="A248" s="32"/>
      <c r="B248" s="32"/>
      <c r="C248" s="32"/>
      <c r="D248" s="32"/>
      <c r="E248" s="32"/>
      <c r="F248" s="32"/>
      <c r="G248" s="32"/>
      <c r="H248" s="32"/>
      <c r="I248" s="32"/>
      <c r="J248" s="37"/>
      <c r="K248" s="37"/>
      <c r="L248" s="32"/>
    </row>
    <row r="249" spans="1:12" x14ac:dyDescent="0.25">
      <c r="A249" s="32"/>
      <c r="B249" s="32"/>
      <c r="C249" s="32"/>
      <c r="D249" s="32"/>
      <c r="E249" s="32"/>
      <c r="F249" s="32"/>
      <c r="G249" s="32"/>
      <c r="H249" s="32"/>
      <c r="I249" s="32"/>
      <c r="J249" s="37"/>
      <c r="K249" s="37"/>
      <c r="L249" s="32"/>
    </row>
    <row r="250" spans="1:12" x14ac:dyDescent="0.25">
      <c r="A250" s="32"/>
      <c r="B250" s="32"/>
      <c r="C250" s="32"/>
      <c r="D250" s="32"/>
      <c r="E250" s="32"/>
      <c r="F250" s="32"/>
      <c r="G250" s="32"/>
      <c r="H250" s="32"/>
      <c r="I250" s="32"/>
      <c r="J250" s="37"/>
      <c r="K250" s="37"/>
      <c r="L250" s="32"/>
    </row>
    <row r="251" spans="1:12" x14ac:dyDescent="0.25">
      <c r="A251" s="32"/>
      <c r="B251" s="32"/>
      <c r="C251" s="32"/>
      <c r="D251" s="32"/>
      <c r="E251" s="32"/>
      <c r="F251" s="32"/>
      <c r="G251" s="32"/>
      <c r="H251" s="32"/>
      <c r="I251" s="32"/>
      <c r="J251" s="37"/>
      <c r="K251" s="37"/>
      <c r="L251" s="32"/>
    </row>
    <row r="252" spans="1:12" x14ac:dyDescent="0.25">
      <c r="A252" s="32"/>
      <c r="B252" s="32"/>
      <c r="C252" s="32"/>
      <c r="D252" s="32"/>
      <c r="E252" s="32"/>
      <c r="F252" s="32"/>
      <c r="G252" s="32"/>
      <c r="H252" s="32"/>
      <c r="I252" s="32"/>
      <c r="J252" s="37"/>
      <c r="K252" s="37"/>
      <c r="L252" s="32"/>
    </row>
    <row r="253" spans="1:12" x14ac:dyDescent="0.25">
      <c r="A253" s="32"/>
      <c r="B253" s="32"/>
      <c r="C253" s="32"/>
      <c r="D253" s="32"/>
      <c r="E253" s="32"/>
      <c r="F253" s="32"/>
      <c r="G253" s="32"/>
      <c r="H253" s="32"/>
      <c r="I253" s="32"/>
      <c r="J253" s="37"/>
      <c r="K253" s="37"/>
      <c r="L253" s="32"/>
    </row>
    <row r="254" spans="1:12" x14ac:dyDescent="0.25">
      <c r="A254" s="32"/>
      <c r="B254" s="32"/>
      <c r="C254" s="32"/>
      <c r="D254" s="32"/>
      <c r="E254" s="32"/>
      <c r="F254" s="32"/>
      <c r="G254" s="32"/>
      <c r="H254" s="32"/>
      <c r="I254" s="32"/>
      <c r="J254" s="37"/>
      <c r="K254" s="37"/>
      <c r="L254" s="32"/>
    </row>
    <row r="255" spans="1:12" x14ac:dyDescent="0.25">
      <c r="A255" s="32"/>
      <c r="B255" s="32"/>
      <c r="C255" s="32"/>
      <c r="D255" s="32"/>
      <c r="E255" s="32"/>
      <c r="F255" s="32"/>
      <c r="G255" s="32"/>
      <c r="H255" s="32"/>
      <c r="I255" s="32"/>
      <c r="J255" s="37"/>
      <c r="K255" s="37"/>
      <c r="L255" s="32"/>
    </row>
    <row r="256" spans="1:12" x14ac:dyDescent="0.25">
      <c r="A256" s="32"/>
      <c r="B256" s="32"/>
      <c r="C256" s="32"/>
      <c r="D256" s="32"/>
      <c r="E256" s="32"/>
      <c r="F256" s="32"/>
      <c r="G256" s="32"/>
      <c r="H256" s="32"/>
      <c r="I256" s="32"/>
      <c r="J256" s="37"/>
      <c r="K256" s="37"/>
      <c r="L256" s="32"/>
    </row>
    <row r="257" spans="1:12" x14ac:dyDescent="0.25">
      <c r="A257" s="32"/>
      <c r="B257" s="32"/>
      <c r="C257" s="32"/>
      <c r="D257" s="32"/>
      <c r="E257" s="32"/>
      <c r="F257" s="32"/>
      <c r="G257" s="32"/>
      <c r="H257" s="32"/>
      <c r="I257" s="32"/>
      <c r="J257" s="37"/>
      <c r="K257" s="37"/>
      <c r="L257" s="32"/>
    </row>
    <row r="258" spans="1:12" x14ac:dyDescent="0.25">
      <c r="A258" s="32"/>
      <c r="B258" s="32"/>
      <c r="C258" s="32"/>
      <c r="D258" s="32"/>
      <c r="E258" s="32"/>
      <c r="F258" s="32"/>
      <c r="G258" s="32"/>
      <c r="H258" s="32"/>
      <c r="I258" s="32"/>
      <c r="J258" s="37"/>
      <c r="K258" s="37"/>
      <c r="L258" s="32"/>
    </row>
    <row r="259" spans="1:12" x14ac:dyDescent="0.25">
      <c r="A259" s="32"/>
      <c r="B259" s="32"/>
      <c r="C259" s="32"/>
      <c r="D259" s="32"/>
      <c r="E259" s="32"/>
      <c r="F259" s="32"/>
      <c r="G259" s="32"/>
      <c r="H259" s="32"/>
      <c r="I259" s="32"/>
      <c r="J259" s="37"/>
      <c r="K259" s="37"/>
      <c r="L259" s="32"/>
    </row>
    <row r="260" spans="1:12" x14ac:dyDescent="0.25">
      <c r="A260" s="32"/>
      <c r="B260" s="32"/>
      <c r="C260" s="32"/>
      <c r="D260" s="32"/>
      <c r="E260" s="32"/>
      <c r="F260" s="32"/>
      <c r="G260" s="32"/>
      <c r="H260" s="32"/>
      <c r="I260" s="32"/>
      <c r="J260" s="37"/>
      <c r="K260" s="37"/>
      <c r="L260" s="32"/>
    </row>
    <row r="261" spans="1:12" x14ac:dyDescent="0.25">
      <c r="A261" s="32"/>
      <c r="B261" s="32"/>
      <c r="C261" s="32"/>
      <c r="D261" s="32"/>
      <c r="E261" s="32"/>
      <c r="F261" s="32"/>
      <c r="G261" s="32"/>
      <c r="H261" s="32"/>
      <c r="I261" s="32"/>
      <c r="J261" s="37"/>
      <c r="K261" s="37"/>
      <c r="L261" s="32"/>
    </row>
    <row r="262" spans="1:12" x14ac:dyDescent="0.25">
      <c r="A262" s="32"/>
      <c r="B262" s="32"/>
      <c r="C262" s="32"/>
      <c r="D262" s="32"/>
      <c r="E262" s="32"/>
      <c r="F262" s="32"/>
      <c r="G262" s="32"/>
      <c r="H262" s="32"/>
      <c r="I262" s="32"/>
      <c r="J262" s="37"/>
      <c r="K262" s="37"/>
      <c r="L262" s="32"/>
    </row>
    <row r="263" spans="1:12" x14ac:dyDescent="0.25">
      <c r="A263" s="32"/>
      <c r="B263" s="32"/>
      <c r="C263" s="32"/>
      <c r="D263" s="32"/>
      <c r="E263" s="32"/>
      <c r="F263" s="32"/>
      <c r="G263" s="32"/>
      <c r="H263" s="32"/>
      <c r="I263" s="32"/>
      <c r="J263" s="37"/>
      <c r="K263" s="37"/>
      <c r="L263" s="32"/>
    </row>
    <row r="264" spans="1:12" x14ac:dyDescent="0.25">
      <c r="A264" s="32"/>
      <c r="B264" s="32"/>
      <c r="C264" s="32"/>
      <c r="D264" s="32"/>
      <c r="E264" s="32"/>
      <c r="F264" s="32"/>
      <c r="G264" s="32"/>
      <c r="H264" s="32"/>
      <c r="I264" s="32"/>
      <c r="J264" s="37"/>
      <c r="K264" s="37"/>
      <c r="L264" s="32"/>
    </row>
    <row r="265" spans="1:12" x14ac:dyDescent="0.25">
      <c r="A265" s="32"/>
      <c r="B265" s="32"/>
      <c r="C265" s="32"/>
      <c r="D265" s="32"/>
      <c r="E265" s="32"/>
      <c r="F265" s="32"/>
      <c r="G265" s="32"/>
      <c r="H265" s="32"/>
      <c r="I265" s="32"/>
      <c r="J265" s="37"/>
      <c r="K265" s="37"/>
      <c r="L265" s="32"/>
    </row>
    <row r="266" spans="1:12" x14ac:dyDescent="0.25">
      <c r="A266" s="32"/>
      <c r="B266" s="32"/>
      <c r="C266" s="32"/>
      <c r="D266" s="32"/>
      <c r="E266" s="32"/>
      <c r="F266" s="32"/>
      <c r="G266" s="32"/>
      <c r="H266" s="32"/>
      <c r="I266" s="32"/>
      <c r="J266" s="37"/>
      <c r="K266" s="37"/>
      <c r="L266" s="32"/>
    </row>
    <row r="267" spans="1:12" x14ac:dyDescent="0.25">
      <c r="A267" s="32"/>
      <c r="B267" s="32"/>
      <c r="C267" s="32"/>
      <c r="D267" s="32"/>
      <c r="E267" s="32"/>
      <c r="F267" s="32"/>
      <c r="G267" s="32"/>
      <c r="H267" s="32"/>
      <c r="I267" s="32"/>
      <c r="J267" s="37"/>
      <c r="K267" s="37"/>
      <c r="L267" s="32"/>
    </row>
    <row r="268" spans="1:12" x14ac:dyDescent="0.25">
      <c r="A268" s="32"/>
      <c r="B268" s="32"/>
      <c r="C268" s="32"/>
      <c r="D268" s="32"/>
      <c r="E268" s="32"/>
      <c r="F268" s="32"/>
      <c r="G268" s="32"/>
      <c r="H268" s="32"/>
      <c r="I268" s="32"/>
      <c r="J268" s="37"/>
      <c r="K268" s="37"/>
      <c r="L268" s="32"/>
    </row>
    <row r="269" spans="1:12" x14ac:dyDescent="0.25">
      <c r="A269" s="32"/>
      <c r="B269" s="32"/>
      <c r="C269" s="32"/>
      <c r="D269" s="32"/>
      <c r="E269" s="32"/>
      <c r="F269" s="32"/>
      <c r="G269" s="32"/>
      <c r="H269" s="32"/>
      <c r="I269" s="32"/>
      <c r="J269" s="37"/>
      <c r="K269" s="37"/>
      <c r="L269" s="32"/>
    </row>
    <row r="270" spans="1:12" x14ac:dyDescent="0.25">
      <c r="A270" s="32"/>
      <c r="B270" s="32"/>
      <c r="C270" s="32"/>
      <c r="D270" s="32"/>
      <c r="E270" s="32"/>
      <c r="F270" s="32"/>
      <c r="G270" s="32"/>
      <c r="H270" s="32"/>
      <c r="I270" s="32"/>
      <c r="J270" s="37"/>
      <c r="K270" s="37"/>
      <c r="L270" s="32"/>
    </row>
    <row r="271" spans="1:12" x14ac:dyDescent="0.25">
      <c r="A271" s="32"/>
      <c r="B271" s="32"/>
      <c r="C271" s="32"/>
      <c r="D271" s="32"/>
      <c r="E271" s="32"/>
      <c r="F271" s="32"/>
      <c r="G271" s="32"/>
      <c r="H271" s="32"/>
      <c r="I271" s="32"/>
      <c r="J271" s="37"/>
      <c r="K271" s="37"/>
      <c r="L271" s="32"/>
    </row>
    <row r="272" spans="1:12" x14ac:dyDescent="0.25">
      <c r="A272" s="32"/>
      <c r="B272" s="32"/>
      <c r="C272" s="32"/>
      <c r="D272" s="32"/>
      <c r="E272" s="32"/>
      <c r="F272" s="32"/>
      <c r="G272" s="32"/>
      <c r="H272" s="32"/>
      <c r="I272" s="32"/>
      <c r="J272" s="37"/>
      <c r="K272" s="37"/>
      <c r="L272" s="32"/>
    </row>
    <row r="273" spans="1:12" x14ac:dyDescent="0.25">
      <c r="A273" s="32"/>
      <c r="B273" s="32"/>
      <c r="C273" s="32"/>
      <c r="D273" s="32"/>
      <c r="E273" s="32"/>
      <c r="F273" s="32"/>
      <c r="G273" s="32"/>
      <c r="H273" s="32"/>
      <c r="I273" s="32"/>
      <c r="J273" s="37"/>
      <c r="K273" s="37"/>
      <c r="L273" s="32"/>
    </row>
    <row r="274" spans="1:12" x14ac:dyDescent="0.25">
      <c r="A274" s="32"/>
      <c r="B274" s="32"/>
      <c r="C274" s="32"/>
      <c r="D274" s="32"/>
      <c r="E274" s="32"/>
      <c r="F274" s="32"/>
      <c r="G274" s="32"/>
      <c r="H274" s="32"/>
      <c r="I274" s="32"/>
      <c r="J274" s="37"/>
      <c r="K274" s="37"/>
      <c r="L274" s="32"/>
    </row>
    <row r="275" spans="1:12" x14ac:dyDescent="0.25">
      <c r="A275" s="32"/>
      <c r="B275" s="32"/>
      <c r="C275" s="32"/>
      <c r="D275" s="32"/>
      <c r="E275" s="32"/>
      <c r="F275" s="32"/>
      <c r="G275" s="32"/>
      <c r="H275" s="32"/>
      <c r="I275" s="32"/>
      <c r="J275" s="37"/>
      <c r="K275" s="37"/>
      <c r="L275" s="32"/>
    </row>
    <row r="276" spans="1:12" x14ac:dyDescent="0.25">
      <c r="A276" s="32"/>
      <c r="B276" s="32"/>
      <c r="C276" s="32"/>
      <c r="D276" s="32"/>
      <c r="E276" s="32"/>
      <c r="F276" s="32"/>
      <c r="G276" s="32"/>
      <c r="H276" s="32"/>
      <c r="I276" s="32"/>
      <c r="J276" s="37"/>
      <c r="K276" s="37"/>
      <c r="L276" s="32"/>
    </row>
    <row r="277" spans="1:12" x14ac:dyDescent="0.25">
      <c r="A277" s="32"/>
      <c r="B277" s="32"/>
      <c r="C277" s="32"/>
      <c r="D277" s="32"/>
      <c r="E277" s="32"/>
      <c r="F277" s="32"/>
      <c r="G277" s="32"/>
      <c r="H277" s="32"/>
      <c r="I277" s="32"/>
      <c r="J277" s="37"/>
      <c r="K277" s="37"/>
      <c r="L277" s="32"/>
    </row>
    <row r="278" spans="1:12" x14ac:dyDescent="0.25">
      <c r="A278" s="32"/>
      <c r="B278" s="32"/>
      <c r="C278" s="32"/>
      <c r="D278" s="32"/>
      <c r="E278" s="32"/>
      <c r="F278" s="32"/>
      <c r="G278" s="32"/>
      <c r="H278" s="32"/>
      <c r="I278" s="32"/>
      <c r="J278" s="37"/>
      <c r="K278" s="37"/>
      <c r="L278" s="32"/>
    </row>
    <row r="279" spans="1:12" x14ac:dyDescent="0.25">
      <c r="A279" s="32"/>
      <c r="B279" s="32"/>
      <c r="C279" s="32"/>
      <c r="D279" s="32"/>
      <c r="E279" s="32"/>
      <c r="F279" s="32"/>
      <c r="G279" s="32"/>
      <c r="H279" s="32"/>
      <c r="I279" s="32"/>
      <c r="J279" s="37"/>
      <c r="K279" s="37"/>
      <c r="L279" s="32"/>
    </row>
    <row r="280" spans="1:12" x14ac:dyDescent="0.25">
      <c r="A280" s="32"/>
      <c r="B280" s="32"/>
      <c r="C280" s="32"/>
      <c r="D280" s="32"/>
      <c r="E280" s="32"/>
      <c r="F280" s="32"/>
      <c r="G280" s="32"/>
      <c r="H280" s="32"/>
      <c r="I280" s="32"/>
      <c r="J280" s="37"/>
      <c r="K280" s="37"/>
      <c r="L280" s="32"/>
    </row>
    <row r="281" spans="1:12" x14ac:dyDescent="0.25">
      <c r="A281" s="32"/>
      <c r="B281" s="32"/>
      <c r="C281" s="32"/>
      <c r="D281" s="32"/>
      <c r="E281" s="32"/>
      <c r="F281" s="32"/>
      <c r="G281" s="32"/>
      <c r="H281" s="32"/>
      <c r="I281" s="32"/>
      <c r="J281" s="37"/>
      <c r="K281" s="37"/>
      <c r="L281" s="32"/>
    </row>
    <row r="282" spans="1:12" x14ac:dyDescent="0.25">
      <c r="A282" s="32"/>
      <c r="B282" s="32"/>
      <c r="C282" s="32"/>
      <c r="D282" s="32"/>
      <c r="E282" s="32"/>
      <c r="F282" s="32"/>
      <c r="G282" s="32"/>
      <c r="H282" s="32"/>
      <c r="I282" s="32"/>
      <c r="J282" s="37"/>
      <c r="K282" s="37"/>
      <c r="L282" s="32"/>
    </row>
    <row r="1048573" spans="2:3" x14ac:dyDescent="0.25">
      <c r="B1048573" s="32"/>
      <c r="C1048573" s="32"/>
    </row>
  </sheetData>
  <autoFilter ref="A1:N66"/>
  <conditionalFormatting sqref="J2:K282">
    <cfRule type="cellIs" dxfId="16" priority="18" operator="equal">
      <formula>"Failed"</formula>
    </cfRule>
    <cfRule type="cellIs" dxfId="15" priority="19" operator="equal">
      <formula>"Passed"</formula>
    </cfRule>
    <cfRule type="cellIs" dxfId="14" priority="20" operator="equal">
      <formula>"Not completed"</formula>
    </cfRule>
    <cfRule type="cellIs" dxfId="13" priority="21" operator="equal">
      <formula>"Failed"</formula>
    </cfRule>
    <cfRule type="cellIs" dxfId="12" priority="22" operator="equal">
      <formula>"Passed"</formula>
    </cfRule>
    <cfRule type="cellIs" dxfId="11" priority="23" operator="equal">
      <formula>"Not Completed"</formula>
    </cfRule>
    <cfRule type="cellIs" dxfId="10" priority="24" operator="equal">
      <formula>"No Run"</formula>
    </cfRule>
  </conditionalFormatting>
  <conditionalFormatting sqref="M2:M240">
    <cfRule type="cellIs" dxfId="9" priority="15" operator="equal">
      <formula>"Bloquant"</formula>
    </cfRule>
    <cfRule type="cellIs" dxfId="8" priority="16" operator="equal">
      <formula>"Majeur"</formula>
    </cfRule>
    <cfRule type="cellIs" dxfId="7" priority="17" operator="equal">
      <formula>"Mineur"</formula>
    </cfRule>
  </conditionalFormatting>
  <dataValidations disablePrompts="1" count="7">
    <dataValidation type="list" allowBlank="1" showInputMessage="1" showErrorMessage="1" sqref="J241:K282">
      <formula1>Statut</formula1>
    </dataValidation>
    <dataValidation type="list" allowBlank="1" showInputMessage="1" showErrorMessage="1" sqref="I2:I282">
      <formula1>periode</formula1>
    </dataValidation>
    <dataValidation type="list" allowBlank="1" showInputMessage="1" showErrorMessage="1" sqref="M2:M240">
      <formula1>Gravité1</formula1>
    </dataValidation>
    <dataValidation type="list" allowBlank="1" showInputMessage="1" showErrorMessage="1" sqref="K2:K240">
      <formula1>statutano1</formula1>
    </dataValidation>
    <dataValidation type="list" allowBlank="1" showInputMessage="1" showErrorMessage="1" sqref="J2:J240">
      <formula1>Statut1</formula1>
    </dataValidation>
    <dataValidation type="list" allowBlank="1" showInputMessage="1" showErrorMessage="1" sqref="C2:C66">
      <formula1>ETAPES</formula1>
    </dataValidation>
    <dataValidation type="list" allowBlank="1" showInputMessage="1" showErrorMessage="1" sqref="E2:E66">
      <formula1>ENV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0" tint="-4.9989318521683403E-2"/>
  </sheetPr>
  <dimension ref="A1:K401"/>
  <sheetViews>
    <sheetView defaultGridColor="0" colorId="46" workbookViewId="0">
      <selection activeCell="F3" sqref="F3"/>
    </sheetView>
  </sheetViews>
  <sheetFormatPr baseColWidth="10" defaultRowHeight="15" x14ac:dyDescent="0.25"/>
  <cols>
    <col min="2" max="2" width="14.28515625" bestFit="1" customWidth="1"/>
    <col min="3" max="3" width="15.140625" bestFit="1" customWidth="1"/>
    <col min="7" max="7" width="59.140625" customWidth="1"/>
    <col min="10" max="10" width="22.85546875" customWidth="1"/>
    <col min="11" max="11" width="21" customWidth="1"/>
  </cols>
  <sheetData>
    <row r="1" spans="1:11" x14ac:dyDescent="0.25">
      <c r="A1" s="5" t="s">
        <v>0</v>
      </c>
      <c r="B1" s="4" t="s">
        <v>403</v>
      </c>
      <c r="C1" s="5" t="s">
        <v>411</v>
      </c>
      <c r="D1" s="4" t="s">
        <v>417</v>
      </c>
      <c r="E1" s="4" t="s">
        <v>430</v>
      </c>
      <c r="F1" s="28" t="s">
        <v>434</v>
      </c>
      <c r="G1" s="3" t="s">
        <v>454</v>
      </c>
      <c r="H1" s="3" t="s">
        <v>455</v>
      </c>
      <c r="I1" s="6" t="s">
        <v>456</v>
      </c>
      <c r="J1" s="3" t="s">
        <v>457</v>
      </c>
      <c r="K1" s="3" t="s">
        <v>483</v>
      </c>
    </row>
    <row r="2" spans="1:11" x14ac:dyDescent="0.25">
      <c r="A2" s="3" t="s">
        <v>1</v>
      </c>
      <c r="B2" s="3" t="s">
        <v>407</v>
      </c>
      <c r="C2" s="6" t="s">
        <v>412</v>
      </c>
      <c r="D2" s="3" t="s">
        <v>419</v>
      </c>
      <c r="E2" s="8" t="s">
        <v>431</v>
      </c>
      <c r="F2" s="27" t="s">
        <v>440</v>
      </c>
      <c r="G2" s="31" t="s">
        <v>482</v>
      </c>
      <c r="J2" s="3" t="s">
        <v>452</v>
      </c>
      <c r="K2" s="3" t="s">
        <v>485</v>
      </c>
    </row>
    <row r="3" spans="1:11" x14ac:dyDescent="0.25">
      <c r="A3" s="3" t="s">
        <v>2</v>
      </c>
      <c r="B3" s="19" t="s">
        <v>426</v>
      </c>
      <c r="C3" s="6" t="s">
        <v>413</v>
      </c>
      <c r="D3" s="3" t="s">
        <v>420</v>
      </c>
      <c r="E3" s="8" t="s">
        <v>432</v>
      </c>
      <c r="F3" s="27" t="s">
        <v>436</v>
      </c>
      <c r="G3" s="31" t="s">
        <v>537</v>
      </c>
      <c r="J3" s="3" t="s">
        <v>418</v>
      </c>
      <c r="K3" s="3" t="s">
        <v>486</v>
      </c>
    </row>
    <row r="4" spans="1:11" x14ac:dyDescent="0.25">
      <c r="A4" s="3" t="s">
        <v>3</v>
      </c>
      <c r="B4" s="3" t="s">
        <v>409</v>
      </c>
      <c r="C4" s="6" t="s">
        <v>414</v>
      </c>
      <c r="D4" s="3" t="s">
        <v>421</v>
      </c>
      <c r="E4" s="8" t="s">
        <v>433</v>
      </c>
      <c r="F4" s="27" t="s">
        <v>437</v>
      </c>
      <c r="G4" s="8" t="s">
        <v>538</v>
      </c>
      <c r="K4" s="3" t="s">
        <v>484</v>
      </c>
    </row>
    <row r="5" spans="1:11" x14ac:dyDescent="0.25">
      <c r="A5" s="3" t="s">
        <v>4</v>
      </c>
      <c r="B5" s="3" t="s">
        <v>408</v>
      </c>
      <c r="C5" s="6" t="s">
        <v>415</v>
      </c>
      <c r="D5" s="3" t="s">
        <v>418</v>
      </c>
      <c r="F5" s="27" t="s">
        <v>439</v>
      </c>
      <c r="G5" s="8" t="s">
        <v>458</v>
      </c>
    </row>
    <row r="6" spans="1:11" x14ac:dyDescent="0.25">
      <c r="A6" s="3" t="s">
        <v>5</v>
      </c>
      <c r="B6" s="3" t="s">
        <v>410</v>
      </c>
      <c r="F6" s="27" t="s">
        <v>438</v>
      </c>
      <c r="G6" s="8" t="s">
        <v>470</v>
      </c>
    </row>
    <row r="7" spans="1:11" x14ac:dyDescent="0.25">
      <c r="A7" s="3" t="s">
        <v>6</v>
      </c>
      <c r="G7" s="8" t="s">
        <v>471</v>
      </c>
    </row>
    <row r="8" spans="1:11" x14ac:dyDescent="0.25">
      <c r="A8" s="3" t="s">
        <v>7</v>
      </c>
      <c r="G8" s="8" t="s">
        <v>450</v>
      </c>
    </row>
    <row r="9" spans="1:11" x14ac:dyDescent="0.25">
      <c r="A9" s="3" t="s">
        <v>8</v>
      </c>
      <c r="G9" s="8" t="s">
        <v>459</v>
      </c>
    </row>
    <row r="10" spans="1:11" x14ac:dyDescent="0.25">
      <c r="A10" s="3" t="s">
        <v>9</v>
      </c>
      <c r="G10" s="8" t="s">
        <v>460</v>
      </c>
    </row>
    <row r="11" spans="1:11" x14ac:dyDescent="0.25">
      <c r="A11" s="3" t="s">
        <v>10</v>
      </c>
      <c r="G11" s="8" t="s">
        <v>461</v>
      </c>
    </row>
    <row r="12" spans="1:11" x14ac:dyDescent="0.25">
      <c r="A12" s="3" t="s">
        <v>11</v>
      </c>
      <c r="G12" s="8" t="s">
        <v>462</v>
      </c>
    </row>
    <row r="13" spans="1:11" x14ac:dyDescent="0.25">
      <c r="A13" s="3" t="s">
        <v>12</v>
      </c>
      <c r="G13" s="8" t="s">
        <v>463</v>
      </c>
    </row>
    <row r="14" spans="1:11" x14ac:dyDescent="0.25">
      <c r="A14" s="3" t="s">
        <v>13</v>
      </c>
      <c r="G14" s="8" t="s">
        <v>469</v>
      </c>
    </row>
    <row r="15" spans="1:11" x14ac:dyDescent="0.25">
      <c r="A15" s="3" t="s">
        <v>14</v>
      </c>
      <c r="G15" s="8" t="s">
        <v>464</v>
      </c>
    </row>
    <row r="16" spans="1:11" x14ac:dyDescent="0.25">
      <c r="A16" s="3" t="s">
        <v>15</v>
      </c>
      <c r="G16" s="8" t="s">
        <v>519</v>
      </c>
    </row>
    <row r="17" spans="1:7" x14ac:dyDescent="0.25">
      <c r="A17" s="3" t="s">
        <v>16</v>
      </c>
      <c r="G17" s="8" t="s">
        <v>516</v>
      </c>
    </row>
    <row r="18" spans="1:7" x14ac:dyDescent="0.25">
      <c r="A18" s="3" t="s">
        <v>17</v>
      </c>
      <c r="G18" s="8" t="s">
        <v>520</v>
      </c>
    </row>
    <row r="19" spans="1:7" x14ac:dyDescent="0.25">
      <c r="A19" s="3" t="s">
        <v>18</v>
      </c>
      <c r="G19" s="8" t="s">
        <v>472</v>
      </c>
    </row>
    <row r="20" spans="1:7" x14ac:dyDescent="0.25">
      <c r="A20" s="3" t="s">
        <v>19</v>
      </c>
      <c r="G20" s="8" t="s">
        <v>468</v>
      </c>
    </row>
    <row r="21" spans="1:7" x14ac:dyDescent="0.25">
      <c r="A21" s="3" t="s">
        <v>20</v>
      </c>
      <c r="G21" s="8" t="s">
        <v>465</v>
      </c>
    </row>
    <row r="22" spans="1:7" x14ac:dyDescent="0.25">
      <c r="A22" s="3" t="s">
        <v>21</v>
      </c>
      <c r="G22" s="8" t="s">
        <v>466</v>
      </c>
    </row>
    <row r="23" spans="1:7" x14ac:dyDescent="0.25">
      <c r="A23" s="3" t="s">
        <v>22</v>
      </c>
      <c r="G23" s="8" t="s">
        <v>467</v>
      </c>
    </row>
    <row r="24" spans="1:7" x14ac:dyDescent="0.25">
      <c r="A24" s="3" t="s">
        <v>23</v>
      </c>
      <c r="G24" s="8" t="s">
        <v>473</v>
      </c>
    </row>
    <row r="25" spans="1:7" x14ac:dyDescent="0.25">
      <c r="A25" s="3" t="s">
        <v>24</v>
      </c>
      <c r="G25" s="8" t="s">
        <v>474</v>
      </c>
    </row>
    <row r="26" spans="1:7" x14ac:dyDescent="0.25">
      <c r="A26" s="3" t="s">
        <v>25</v>
      </c>
      <c r="G26" s="8" t="s">
        <v>475</v>
      </c>
    </row>
    <row r="27" spans="1:7" x14ac:dyDescent="0.25">
      <c r="A27" s="3" t="s">
        <v>26</v>
      </c>
      <c r="G27" s="8" t="s">
        <v>476</v>
      </c>
    </row>
    <row r="28" spans="1:7" x14ac:dyDescent="0.25">
      <c r="A28" s="3" t="s">
        <v>27</v>
      </c>
      <c r="G28" s="8" t="s">
        <v>477</v>
      </c>
    </row>
    <row r="29" spans="1:7" x14ac:dyDescent="0.25">
      <c r="A29" s="3" t="s">
        <v>28</v>
      </c>
      <c r="G29" s="3" t="s">
        <v>451</v>
      </c>
    </row>
    <row r="30" spans="1:7" x14ac:dyDescent="0.25">
      <c r="A30" s="3" t="s">
        <v>29</v>
      </c>
      <c r="G30" s="3" t="s">
        <v>478</v>
      </c>
    </row>
    <row r="31" spans="1:7" x14ac:dyDescent="0.25">
      <c r="A31" s="3" t="s">
        <v>30</v>
      </c>
      <c r="G31" s="3" t="s">
        <v>479</v>
      </c>
    </row>
    <row r="32" spans="1:7" x14ac:dyDescent="0.25">
      <c r="A32" s="3" t="s">
        <v>31</v>
      </c>
      <c r="G32" s="3" t="s">
        <v>480</v>
      </c>
    </row>
    <row r="33" spans="1:1" x14ac:dyDescent="0.25">
      <c r="A33" s="3" t="s">
        <v>32</v>
      </c>
    </row>
    <row r="34" spans="1:1" x14ac:dyDescent="0.25">
      <c r="A34" s="3" t="s">
        <v>33</v>
      </c>
    </row>
    <row r="35" spans="1:1" x14ac:dyDescent="0.25">
      <c r="A35" s="3" t="s">
        <v>34</v>
      </c>
    </row>
    <row r="36" spans="1:1" x14ac:dyDescent="0.25">
      <c r="A36" s="3" t="s">
        <v>35</v>
      </c>
    </row>
    <row r="37" spans="1:1" x14ac:dyDescent="0.25">
      <c r="A37" s="3" t="s">
        <v>36</v>
      </c>
    </row>
    <row r="38" spans="1:1" x14ac:dyDescent="0.25">
      <c r="A38" s="3" t="s">
        <v>37</v>
      </c>
    </row>
    <row r="39" spans="1:1" x14ac:dyDescent="0.25">
      <c r="A39" s="3" t="s">
        <v>38</v>
      </c>
    </row>
    <row r="40" spans="1:1" x14ac:dyDescent="0.25">
      <c r="A40" s="3" t="s">
        <v>39</v>
      </c>
    </row>
    <row r="41" spans="1:1" x14ac:dyDescent="0.25">
      <c r="A41" s="3" t="s">
        <v>40</v>
      </c>
    </row>
    <row r="42" spans="1:1" x14ac:dyDescent="0.25">
      <c r="A42" s="3" t="s">
        <v>41</v>
      </c>
    </row>
    <row r="43" spans="1:1" x14ac:dyDescent="0.25">
      <c r="A43" s="3" t="s">
        <v>42</v>
      </c>
    </row>
    <row r="44" spans="1:1" x14ac:dyDescent="0.25">
      <c r="A44" s="3" t="s">
        <v>43</v>
      </c>
    </row>
    <row r="45" spans="1:1" x14ac:dyDescent="0.25">
      <c r="A45" s="3" t="s">
        <v>44</v>
      </c>
    </row>
    <row r="46" spans="1:1" x14ac:dyDescent="0.25">
      <c r="A46" s="3" t="s">
        <v>45</v>
      </c>
    </row>
    <row r="47" spans="1:1" x14ac:dyDescent="0.25">
      <c r="A47" s="3" t="s">
        <v>46</v>
      </c>
    </row>
    <row r="48" spans="1:1" x14ac:dyDescent="0.25">
      <c r="A48" s="3" t="s">
        <v>47</v>
      </c>
    </row>
    <row r="49" spans="1:1" x14ac:dyDescent="0.25">
      <c r="A49" s="3" t="s">
        <v>48</v>
      </c>
    </row>
    <row r="50" spans="1:1" x14ac:dyDescent="0.25">
      <c r="A50" s="3" t="s">
        <v>49</v>
      </c>
    </row>
    <row r="51" spans="1:1" x14ac:dyDescent="0.25">
      <c r="A51" s="3" t="s">
        <v>50</v>
      </c>
    </row>
    <row r="52" spans="1:1" x14ac:dyDescent="0.25">
      <c r="A52" s="3" t="s">
        <v>51</v>
      </c>
    </row>
    <row r="53" spans="1:1" x14ac:dyDescent="0.25">
      <c r="A53" s="3" t="s">
        <v>52</v>
      </c>
    </row>
    <row r="54" spans="1:1" x14ac:dyDescent="0.25">
      <c r="A54" s="3" t="s">
        <v>53</v>
      </c>
    </row>
    <row r="55" spans="1:1" x14ac:dyDescent="0.25">
      <c r="A55" s="3" t="s">
        <v>54</v>
      </c>
    </row>
    <row r="56" spans="1:1" x14ac:dyDescent="0.25">
      <c r="A56" s="3" t="s">
        <v>55</v>
      </c>
    </row>
    <row r="57" spans="1:1" x14ac:dyDescent="0.25">
      <c r="A57" s="3" t="s">
        <v>56</v>
      </c>
    </row>
    <row r="58" spans="1:1" x14ac:dyDescent="0.25">
      <c r="A58" s="3" t="s">
        <v>57</v>
      </c>
    </row>
    <row r="59" spans="1:1" x14ac:dyDescent="0.25">
      <c r="A59" s="3" t="s">
        <v>58</v>
      </c>
    </row>
    <row r="60" spans="1:1" x14ac:dyDescent="0.25">
      <c r="A60" s="3" t="s">
        <v>59</v>
      </c>
    </row>
    <row r="61" spans="1:1" x14ac:dyDescent="0.25">
      <c r="A61" s="3" t="s">
        <v>60</v>
      </c>
    </row>
    <row r="62" spans="1:1" x14ac:dyDescent="0.25">
      <c r="A62" s="3" t="s">
        <v>61</v>
      </c>
    </row>
    <row r="63" spans="1:1" x14ac:dyDescent="0.25">
      <c r="A63" s="3" t="s">
        <v>62</v>
      </c>
    </row>
    <row r="64" spans="1:1" x14ac:dyDescent="0.25">
      <c r="A64" s="3" t="s">
        <v>63</v>
      </c>
    </row>
    <row r="65" spans="1:1" x14ac:dyDescent="0.25">
      <c r="A65" s="3" t="s">
        <v>64</v>
      </c>
    </row>
    <row r="66" spans="1:1" x14ac:dyDescent="0.25">
      <c r="A66" s="3" t="s">
        <v>65</v>
      </c>
    </row>
    <row r="67" spans="1:1" x14ac:dyDescent="0.25">
      <c r="A67" s="3" t="s">
        <v>66</v>
      </c>
    </row>
    <row r="68" spans="1:1" x14ac:dyDescent="0.25">
      <c r="A68" s="3" t="s">
        <v>67</v>
      </c>
    </row>
    <row r="69" spans="1:1" x14ac:dyDescent="0.25">
      <c r="A69" s="3" t="s">
        <v>68</v>
      </c>
    </row>
    <row r="70" spans="1:1" x14ac:dyDescent="0.25">
      <c r="A70" s="3" t="s">
        <v>69</v>
      </c>
    </row>
    <row r="71" spans="1:1" x14ac:dyDescent="0.25">
      <c r="A71" s="3" t="s">
        <v>70</v>
      </c>
    </row>
    <row r="72" spans="1:1" x14ac:dyDescent="0.25">
      <c r="A72" s="3" t="s">
        <v>71</v>
      </c>
    </row>
    <row r="73" spans="1:1" x14ac:dyDescent="0.25">
      <c r="A73" s="3" t="s">
        <v>72</v>
      </c>
    </row>
    <row r="74" spans="1:1" x14ac:dyDescent="0.25">
      <c r="A74" s="3" t="s">
        <v>73</v>
      </c>
    </row>
    <row r="75" spans="1:1" x14ac:dyDescent="0.25">
      <c r="A75" s="3" t="s">
        <v>74</v>
      </c>
    </row>
    <row r="76" spans="1:1" x14ac:dyDescent="0.25">
      <c r="A76" s="3" t="s">
        <v>75</v>
      </c>
    </row>
    <row r="77" spans="1:1" x14ac:dyDescent="0.25">
      <c r="A77" s="3" t="s">
        <v>76</v>
      </c>
    </row>
    <row r="78" spans="1:1" x14ac:dyDescent="0.25">
      <c r="A78" s="3" t="s">
        <v>77</v>
      </c>
    </row>
    <row r="79" spans="1:1" x14ac:dyDescent="0.25">
      <c r="A79" s="3" t="s">
        <v>78</v>
      </c>
    </row>
    <row r="80" spans="1:1" x14ac:dyDescent="0.25">
      <c r="A80" s="3" t="s">
        <v>79</v>
      </c>
    </row>
    <row r="81" spans="1:1" x14ac:dyDescent="0.25">
      <c r="A81" s="3" t="s">
        <v>80</v>
      </c>
    </row>
    <row r="82" spans="1:1" x14ac:dyDescent="0.25">
      <c r="A82" s="3" t="s">
        <v>81</v>
      </c>
    </row>
    <row r="83" spans="1:1" x14ac:dyDescent="0.25">
      <c r="A83" s="3" t="s">
        <v>82</v>
      </c>
    </row>
    <row r="84" spans="1:1" x14ac:dyDescent="0.25">
      <c r="A84" s="3" t="s">
        <v>83</v>
      </c>
    </row>
    <row r="85" spans="1:1" x14ac:dyDescent="0.25">
      <c r="A85" s="3" t="s">
        <v>84</v>
      </c>
    </row>
    <row r="86" spans="1:1" x14ac:dyDescent="0.25">
      <c r="A86" s="3" t="s">
        <v>85</v>
      </c>
    </row>
    <row r="87" spans="1:1" x14ac:dyDescent="0.25">
      <c r="A87" s="3" t="s">
        <v>86</v>
      </c>
    </row>
    <row r="88" spans="1:1" x14ac:dyDescent="0.25">
      <c r="A88" s="3" t="s">
        <v>87</v>
      </c>
    </row>
    <row r="89" spans="1:1" x14ac:dyDescent="0.25">
      <c r="A89" s="3" t="s">
        <v>88</v>
      </c>
    </row>
    <row r="90" spans="1:1" x14ac:dyDescent="0.25">
      <c r="A90" s="3" t="s">
        <v>89</v>
      </c>
    </row>
    <row r="91" spans="1:1" x14ac:dyDescent="0.25">
      <c r="A91" s="3" t="s">
        <v>90</v>
      </c>
    </row>
    <row r="92" spans="1:1" x14ac:dyDescent="0.25">
      <c r="A92" s="3" t="s">
        <v>91</v>
      </c>
    </row>
    <row r="93" spans="1:1" x14ac:dyDescent="0.25">
      <c r="A93" s="3" t="s">
        <v>92</v>
      </c>
    </row>
    <row r="94" spans="1:1" x14ac:dyDescent="0.25">
      <c r="A94" s="3" t="s">
        <v>93</v>
      </c>
    </row>
    <row r="95" spans="1:1" x14ac:dyDescent="0.25">
      <c r="A95" s="3" t="s">
        <v>94</v>
      </c>
    </row>
    <row r="96" spans="1:1" x14ac:dyDescent="0.25">
      <c r="A96" s="3" t="s">
        <v>95</v>
      </c>
    </row>
    <row r="97" spans="1:1" x14ac:dyDescent="0.25">
      <c r="A97" s="3" t="s">
        <v>96</v>
      </c>
    </row>
    <row r="98" spans="1:1" x14ac:dyDescent="0.25">
      <c r="A98" s="3" t="s">
        <v>97</v>
      </c>
    </row>
    <row r="99" spans="1:1" x14ac:dyDescent="0.25">
      <c r="A99" s="3" t="s">
        <v>98</v>
      </c>
    </row>
    <row r="100" spans="1:1" x14ac:dyDescent="0.25">
      <c r="A100" s="3" t="s">
        <v>99</v>
      </c>
    </row>
    <row r="101" spans="1:1" x14ac:dyDescent="0.25">
      <c r="A101" s="3" t="s">
        <v>100</v>
      </c>
    </row>
    <row r="102" spans="1:1" x14ac:dyDescent="0.25">
      <c r="A102" s="3" t="s">
        <v>101</v>
      </c>
    </row>
    <row r="103" spans="1:1" x14ac:dyDescent="0.25">
      <c r="A103" s="3" t="s">
        <v>102</v>
      </c>
    </row>
    <row r="104" spans="1:1" x14ac:dyDescent="0.25">
      <c r="A104" s="3" t="s">
        <v>103</v>
      </c>
    </row>
    <row r="105" spans="1:1" x14ac:dyDescent="0.25">
      <c r="A105" s="3" t="s">
        <v>104</v>
      </c>
    </row>
    <row r="106" spans="1:1" x14ac:dyDescent="0.25">
      <c r="A106" s="3" t="s">
        <v>105</v>
      </c>
    </row>
    <row r="107" spans="1:1" x14ac:dyDescent="0.25">
      <c r="A107" s="3" t="s">
        <v>106</v>
      </c>
    </row>
    <row r="108" spans="1:1" x14ac:dyDescent="0.25">
      <c r="A108" s="3" t="s">
        <v>107</v>
      </c>
    </row>
    <row r="109" spans="1:1" x14ac:dyDescent="0.25">
      <c r="A109" s="3" t="s">
        <v>108</v>
      </c>
    </row>
    <row r="110" spans="1:1" x14ac:dyDescent="0.25">
      <c r="A110" s="3" t="s">
        <v>109</v>
      </c>
    </row>
    <row r="111" spans="1:1" x14ac:dyDescent="0.25">
      <c r="A111" s="3" t="s">
        <v>110</v>
      </c>
    </row>
    <row r="112" spans="1:1" x14ac:dyDescent="0.25">
      <c r="A112" s="3" t="s">
        <v>111</v>
      </c>
    </row>
    <row r="113" spans="1:1" x14ac:dyDescent="0.25">
      <c r="A113" s="3" t="s">
        <v>112</v>
      </c>
    </row>
    <row r="114" spans="1:1" x14ac:dyDescent="0.25">
      <c r="A114" s="3" t="s">
        <v>113</v>
      </c>
    </row>
    <row r="115" spans="1:1" x14ac:dyDescent="0.25">
      <c r="A115" s="3" t="s">
        <v>114</v>
      </c>
    </row>
    <row r="116" spans="1:1" x14ac:dyDescent="0.25">
      <c r="A116" s="3" t="s">
        <v>115</v>
      </c>
    </row>
    <row r="117" spans="1:1" x14ac:dyDescent="0.25">
      <c r="A117" s="3" t="s">
        <v>116</v>
      </c>
    </row>
    <row r="118" spans="1:1" x14ac:dyDescent="0.25">
      <c r="A118" s="3" t="s">
        <v>117</v>
      </c>
    </row>
    <row r="119" spans="1:1" x14ac:dyDescent="0.25">
      <c r="A119" s="3" t="s">
        <v>118</v>
      </c>
    </row>
    <row r="120" spans="1:1" x14ac:dyDescent="0.25">
      <c r="A120" s="3" t="s">
        <v>119</v>
      </c>
    </row>
    <row r="121" spans="1:1" x14ac:dyDescent="0.25">
      <c r="A121" s="3" t="s">
        <v>120</v>
      </c>
    </row>
    <row r="122" spans="1:1" x14ac:dyDescent="0.25">
      <c r="A122" s="3" t="s">
        <v>121</v>
      </c>
    </row>
    <row r="123" spans="1:1" x14ac:dyDescent="0.25">
      <c r="A123" s="3" t="s">
        <v>122</v>
      </c>
    </row>
    <row r="124" spans="1:1" x14ac:dyDescent="0.25">
      <c r="A124" s="3" t="s">
        <v>123</v>
      </c>
    </row>
    <row r="125" spans="1:1" x14ac:dyDescent="0.25">
      <c r="A125" s="3" t="s">
        <v>124</v>
      </c>
    </row>
    <row r="126" spans="1:1" x14ac:dyDescent="0.25">
      <c r="A126" s="3" t="s">
        <v>125</v>
      </c>
    </row>
    <row r="127" spans="1:1" x14ac:dyDescent="0.25">
      <c r="A127" s="3" t="s">
        <v>126</v>
      </c>
    </row>
    <row r="128" spans="1:1" x14ac:dyDescent="0.25">
      <c r="A128" s="3" t="s">
        <v>127</v>
      </c>
    </row>
    <row r="129" spans="1:1" x14ac:dyDescent="0.25">
      <c r="A129" s="3" t="s">
        <v>128</v>
      </c>
    </row>
    <row r="130" spans="1:1" x14ac:dyDescent="0.25">
      <c r="A130" s="3" t="s">
        <v>129</v>
      </c>
    </row>
    <row r="131" spans="1:1" x14ac:dyDescent="0.25">
      <c r="A131" s="3" t="s">
        <v>130</v>
      </c>
    </row>
    <row r="132" spans="1:1" x14ac:dyDescent="0.25">
      <c r="A132" s="3" t="s">
        <v>131</v>
      </c>
    </row>
    <row r="133" spans="1:1" x14ac:dyDescent="0.25">
      <c r="A133" s="3" t="s">
        <v>132</v>
      </c>
    </row>
    <row r="134" spans="1:1" x14ac:dyDescent="0.25">
      <c r="A134" s="3" t="s">
        <v>133</v>
      </c>
    </row>
    <row r="135" spans="1:1" x14ac:dyDescent="0.25">
      <c r="A135" s="3" t="s">
        <v>134</v>
      </c>
    </row>
    <row r="136" spans="1:1" x14ac:dyDescent="0.25">
      <c r="A136" s="3" t="s">
        <v>135</v>
      </c>
    </row>
    <row r="137" spans="1:1" x14ac:dyDescent="0.25">
      <c r="A137" s="3" t="s">
        <v>136</v>
      </c>
    </row>
    <row r="138" spans="1:1" x14ac:dyDescent="0.25">
      <c r="A138" s="3" t="s">
        <v>137</v>
      </c>
    </row>
    <row r="139" spans="1:1" x14ac:dyDescent="0.25">
      <c r="A139" s="3" t="s">
        <v>138</v>
      </c>
    </row>
    <row r="140" spans="1:1" x14ac:dyDescent="0.25">
      <c r="A140" s="3" t="s">
        <v>139</v>
      </c>
    </row>
    <row r="141" spans="1:1" x14ac:dyDescent="0.25">
      <c r="A141" s="3" t="s">
        <v>140</v>
      </c>
    </row>
    <row r="142" spans="1:1" x14ac:dyDescent="0.25">
      <c r="A142" s="3" t="s">
        <v>141</v>
      </c>
    </row>
    <row r="143" spans="1:1" x14ac:dyDescent="0.25">
      <c r="A143" s="3" t="s">
        <v>142</v>
      </c>
    </row>
    <row r="144" spans="1:1" x14ac:dyDescent="0.25">
      <c r="A144" s="3" t="s">
        <v>143</v>
      </c>
    </row>
    <row r="145" spans="1:1" x14ac:dyDescent="0.25">
      <c r="A145" s="3" t="s">
        <v>144</v>
      </c>
    </row>
    <row r="146" spans="1:1" x14ac:dyDescent="0.25">
      <c r="A146" s="3" t="s">
        <v>145</v>
      </c>
    </row>
    <row r="147" spans="1:1" x14ac:dyDescent="0.25">
      <c r="A147" s="3" t="s">
        <v>146</v>
      </c>
    </row>
    <row r="148" spans="1:1" x14ac:dyDescent="0.25">
      <c r="A148" s="3" t="s">
        <v>147</v>
      </c>
    </row>
    <row r="149" spans="1:1" x14ac:dyDescent="0.25">
      <c r="A149" s="3" t="s">
        <v>148</v>
      </c>
    </row>
    <row r="150" spans="1:1" x14ac:dyDescent="0.25">
      <c r="A150" s="3" t="s">
        <v>149</v>
      </c>
    </row>
    <row r="151" spans="1:1" x14ac:dyDescent="0.25">
      <c r="A151" s="3" t="s">
        <v>150</v>
      </c>
    </row>
    <row r="152" spans="1:1" x14ac:dyDescent="0.25">
      <c r="A152" s="3" t="s">
        <v>151</v>
      </c>
    </row>
    <row r="153" spans="1:1" x14ac:dyDescent="0.25">
      <c r="A153" s="3" t="s">
        <v>152</v>
      </c>
    </row>
    <row r="154" spans="1:1" x14ac:dyDescent="0.25">
      <c r="A154" s="3" t="s">
        <v>153</v>
      </c>
    </row>
    <row r="155" spans="1:1" x14ac:dyDescent="0.25">
      <c r="A155" s="3" t="s">
        <v>154</v>
      </c>
    </row>
    <row r="156" spans="1:1" x14ac:dyDescent="0.25">
      <c r="A156" s="3" t="s">
        <v>155</v>
      </c>
    </row>
    <row r="157" spans="1:1" x14ac:dyDescent="0.25">
      <c r="A157" s="3" t="s">
        <v>156</v>
      </c>
    </row>
    <row r="158" spans="1:1" x14ac:dyDescent="0.25">
      <c r="A158" s="3" t="s">
        <v>157</v>
      </c>
    </row>
    <row r="159" spans="1:1" x14ac:dyDescent="0.25">
      <c r="A159" s="3" t="s">
        <v>158</v>
      </c>
    </row>
    <row r="160" spans="1:1" x14ac:dyDescent="0.25">
      <c r="A160" s="3" t="s">
        <v>159</v>
      </c>
    </row>
    <row r="161" spans="1:1" x14ac:dyDescent="0.25">
      <c r="A161" s="3" t="s">
        <v>160</v>
      </c>
    </row>
    <row r="162" spans="1:1" x14ac:dyDescent="0.25">
      <c r="A162" s="3" t="s">
        <v>161</v>
      </c>
    </row>
    <row r="163" spans="1:1" x14ac:dyDescent="0.25">
      <c r="A163" s="3" t="s">
        <v>162</v>
      </c>
    </row>
    <row r="164" spans="1:1" x14ac:dyDescent="0.25">
      <c r="A164" s="3" t="s">
        <v>163</v>
      </c>
    </row>
    <row r="165" spans="1:1" x14ac:dyDescent="0.25">
      <c r="A165" s="3" t="s">
        <v>164</v>
      </c>
    </row>
    <row r="166" spans="1:1" x14ac:dyDescent="0.25">
      <c r="A166" s="3" t="s">
        <v>165</v>
      </c>
    </row>
    <row r="167" spans="1:1" x14ac:dyDescent="0.25">
      <c r="A167" s="3" t="s">
        <v>166</v>
      </c>
    </row>
    <row r="168" spans="1:1" x14ac:dyDescent="0.25">
      <c r="A168" s="3" t="s">
        <v>167</v>
      </c>
    </row>
    <row r="169" spans="1:1" x14ac:dyDescent="0.25">
      <c r="A169" s="3" t="s">
        <v>168</v>
      </c>
    </row>
    <row r="170" spans="1:1" x14ac:dyDescent="0.25">
      <c r="A170" s="3" t="s">
        <v>169</v>
      </c>
    </row>
    <row r="171" spans="1:1" x14ac:dyDescent="0.25">
      <c r="A171" s="3" t="s">
        <v>170</v>
      </c>
    </row>
    <row r="172" spans="1:1" x14ac:dyDescent="0.25">
      <c r="A172" s="3" t="s">
        <v>171</v>
      </c>
    </row>
    <row r="173" spans="1:1" x14ac:dyDescent="0.25">
      <c r="A173" s="3" t="s">
        <v>172</v>
      </c>
    </row>
    <row r="174" spans="1:1" x14ac:dyDescent="0.25">
      <c r="A174" s="3" t="s">
        <v>173</v>
      </c>
    </row>
    <row r="175" spans="1:1" x14ac:dyDescent="0.25">
      <c r="A175" s="3" t="s">
        <v>174</v>
      </c>
    </row>
    <row r="176" spans="1:1" x14ac:dyDescent="0.25">
      <c r="A176" s="3" t="s">
        <v>175</v>
      </c>
    </row>
    <row r="177" spans="1:1" x14ac:dyDescent="0.25">
      <c r="A177" s="3" t="s">
        <v>176</v>
      </c>
    </row>
    <row r="178" spans="1:1" x14ac:dyDescent="0.25">
      <c r="A178" s="3" t="s">
        <v>177</v>
      </c>
    </row>
    <row r="179" spans="1:1" x14ac:dyDescent="0.25">
      <c r="A179" s="3" t="s">
        <v>178</v>
      </c>
    </row>
    <row r="180" spans="1:1" x14ac:dyDescent="0.25">
      <c r="A180" s="3" t="s">
        <v>179</v>
      </c>
    </row>
    <row r="181" spans="1:1" x14ac:dyDescent="0.25">
      <c r="A181" s="3" t="s">
        <v>180</v>
      </c>
    </row>
    <row r="182" spans="1:1" x14ac:dyDescent="0.25">
      <c r="A182" s="3" t="s">
        <v>181</v>
      </c>
    </row>
    <row r="183" spans="1:1" x14ac:dyDescent="0.25">
      <c r="A183" s="3" t="s">
        <v>182</v>
      </c>
    </row>
    <row r="184" spans="1:1" x14ac:dyDescent="0.25">
      <c r="A184" s="3" t="s">
        <v>183</v>
      </c>
    </row>
    <row r="185" spans="1:1" x14ac:dyDescent="0.25">
      <c r="A185" s="3" t="s">
        <v>184</v>
      </c>
    </row>
    <row r="186" spans="1:1" x14ac:dyDescent="0.25">
      <c r="A186" s="3" t="s">
        <v>185</v>
      </c>
    </row>
    <row r="187" spans="1:1" x14ac:dyDescent="0.25">
      <c r="A187" s="3" t="s">
        <v>186</v>
      </c>
    </row>
    <row r="188" spans="1:1" x14ac:dyDescent="0.25">
      <c r="A188" s="3" t="s">
        <v>187</v>
      </c>
    </row>
    <row r="189" spans="1:1" x14ac:dyDescent="0.25">
      <c r="A189" s="3" t="s">
        <v>188</v>
      </c>
    </row>
    <row r="190" spans="1:1" x14ac:dyDescent="0.25">
      <c r="A190" s="3" t="s">
        <v>189</v>
      </c>
    </row>
    <row r="191" spans="1:1" x14ac:dyDescent="0.25">
      <c r="A191" s="3" t="s">
        <v>190</v>
      </c>
    </row>
    <row r="192" spans="1:1" x14ac:dyDescent="0.25">
      <c r="A192" s="3" t="s">
        <v>191</v>
      </c>
    </row>
    <row r="193" spans="1:1" x14ac:dyDescent="0.25">
      <c r="A193" s="3" t="s">
        <v>192</v>
      </c>
    </row>
    <row r="194" spans="1:1" x14ac:dyDescent="0.25">
      <c r="A194" s="3" t="s">
        <v>193</v>
      </c>
    </row>
    <row r="195" spans="1:1" x14ac:dyDescent="0.25">
      <c r="A195" s="3" t="s">
        <v>194</v>
      </c>
    </row>
    <row r="196" spans="1:1" x14ac:dyDescent="0.25">
      <c r="A196" s="3" t="s">
        <v>195</v>
      </c>
    </row>
    <row r="197" spans="1:1" x14ac:dyDescent="0.25">
      <c r="A197" s="3" t="s">
        <v>196</v>
      </c>
    </row>
    <row r="198" spans="1:1" x14ac:dyDescent="0.25">
      <c r="A198" s="3" t="s">
        <v>197</v>
      </c>
    </row>
    <row r="199" spans="1:1" x14ac:dyDescent="0.25">
      <c r="A199" s="3" t="s">
        <v>198</v>
      </c>
    </row>
    <row r="200" spans="1:1" x14ac:dyDescent="0.25">
      <c r="A200" s="3" t="s">
        <v>199</v>
      </c>
    </row>
    <row r="201" spans="1:1" x14ac:dyDescent="0.25">
      <c r="A201" s="3" t="s">
        <v>200</v>
      </c>
    </row>
    <row r="202" spans="1:1" x14ac:dyDescent="0.25">
      <c r="A202" s="3" t="s">
        <v>201</v>
      </c>
    </row>
    <row r="203" spans="1:1" x14ac:dyDescent="0.25">
      <c r="A203" s="3" t="s">
        <v>202</v>
      </c>
    </row>
    <row r="204" spans="1:1" x14ac:dyDescent="0.25">
      <c r="A204" s="3" t="s">
        <v>203</v>
      </c>
    </row>
    <row r="205" spans="1:1" x14ac:dyDescent="0.25">
      <c r="A205" s="3" t="s">
        <v>204</v>
      </c>
    </row>
    <row r="206" spans="1:1" x14ac:dyDescent="0.25">
      <c r="A206" s="3" t="s">
        <v>205</v>
      </c>
    </row>
    <row r="207" spans="1:1" x14ac:dyDescent="0.25">
      <c r="A207" s="3" t="s">
        <v>206</v>
      </c>
    </row>
    <row r="208" spans="1:1" x14ac:dyDescent="0.25">
      <c r="A208" s="3" t="s">
        <v>207</v>
      </c>
    </row>
    <row r="209" spans="1:1" x14ac:dyDescent="0.25">
      <c r="A209" s="3" t="s">
        <v>208</v>
      </c>
    </row>
    <row r="210" spans="1:1" x14ac:dyDescent="0.25">
      <c r="A210" s="3" t="s">
        <v>209</v>
      </c>
    </row>
    <row r="211" spans="1:1" x14ac:dyDescent="0.25">
      <c r="A211" s="3" t="s">
        <v>210</v>
      </c>
    </row>
    <row r="212" spans="1:1" x14ac:dyDescent="0.25">
      <c r="A212" s="3" t="s">
        <v>211</v>
      </c>
    </row>
    <row r="213" spans="1:1" x14ac:dyDescent="0.25">
      <c r="A213" s="3" t="s">
        <v>212</v>
      </c>
    </row>
    <row r="214" spans="1:1" x14ac:dyDescent="0.25">
      <c r="A214" s="3" t="s">
        <v>213</v>
      </c>
    </row>
    <row r="215" spans="1:1" x14ac:dyDescent="0.25">
      <c r="A215" s="3" t="s">
        <v>214</v>
      </c>
    </row>
    <row r="216" spans="1:1" x14ac:dyDescent="0.25">
      <c r="A216" s="3" t="s">
        <v>215</v>
      </c>
    </row>
    <row r="217" spans="1:1" x14ac:dyDescent="0.25">
      <c r="A217" s="3" t="s">
        <v>216</v>
      </c>
    </row>
    <row r="218" spans="1:1" x14ac:dyDescent="0.25">
      <c r="A218" s="3" t="s">
        <v>217</v>
      </c>
    </row>
    <row r="219" spans="1:1" x14ac:dyDescent="0.25">
      <c r="A219" s="3" t="s">
        <v>218</v>
      </c>
    </row>
    <row r="220" spans="1:1" x14ac:dyDescent="0.25">
      <c r="A220" s="3" t="s">
        <v>219</v>
      </c>
    </row>
    <row r="221" spans="1:1" x14ac:dyDescent="0.25">
      <c r="A221" s="3" t="s">
        <v>220</v>
      </c>
    </row>
    <row r="222" spans="1:1" x14ac:dyDescent="0.25">
      <c r="A222" s="3" t="s">
        <v>221</v>
      </c>
    </row>
    <row r="223" spans="1:1" x14ac:dyDescent="0.25">
      <c r="A223" s="3" t="s">
        <v>222</v>
      </c>
    </row>
    <row r="224" spans="1:1" x14ac:dyDescent="0.25">
      <c r="A224" s="3" t="s">
        <v>223</v>
      </c>
    </row>
    <row r="225" spans="1:1" x14ac:dyDescent="0.25">
      <c r="A225" s="3" t="s">
        <v>224</v>
      </c>
    </row>
    <row r="226" spans="1:1" x14ac:dyDescent="0.25">
      <c r="A226" s="3" t="s">
        <v>225</v>
      </c>
    </row>
    <row r="227" spans="1:1" x14ac:dyDescent="0.25">
      <c r="A227" s="3" t="s">
        <v>226</v>
      </c>
    </row>
    <row r="228" spans="1:1" x14ac:dyDescent="0.25">
      <c r="A228" s="3" t="s">
        <v>227</v>
      </c>
    </row>
    <row r="229" spans="1:1" x14ac:dyDescent="0.25">
      <c r="A229" s="3" t="s">
        <v>228</v>
      </c>
    </row>
    <row r="230" spans="1:1" x14ac:dyDescent="0.25">
      <c r="A230" s="3" t="s">
        <v>229</v>
      </c>
    </row>
    <row r="231" spans="1:1" x14ac:dyDescent="0.25">
      <c r="A231" s="3" t="s">
        <v>230</v>
      </c>
    </row>
    <row r="232" spans="1:1" x14ac:dyDescent="0.25">
      <c r="A232" s="3" t="s">
        <v>231</v>
      </c>
    </row>
    <row r="233" spans="1:1" x14ac:dyDescent="0.25">
      <c r="A233" s="3" t="s">
        <v>232</v>
      </c>
    </row>
    <row r="234" spans="1:1" x14ac:dyDescent="0.25">
      <c r="A234" s="3" t="s">
        <v>233</v>
      </c>
    </row>
    <row r="235" spans="1:1" x14ac:dyDescent="0.25">
      <c r="A235" s="3" t="s">
        <v>234</v>
      </c>
    </row>
    <row r="236" spans="1:1" x14ac:dyDescent="0.25">
      <c r="A236" s="3" t="s">
        <v>235</v>
      </c>
    </row>
    <row r="237" spans="1:1" x14ac:dyDescent="0.25">
      <c r="A237" s="3" t="s">
        <v>236</v>
      </c>
    </row>
    <row r="238" spans="1:1" x14ac:dyDescent="0.25">
      <c r="A238" s="3" t="s">
        <v>237</v>
      </c>
    </row>
    <row r="239" spans="1:1" x14ac:dyDescent="0.25">
      <c r="A239" s="3" t="s">
        <v>238</v>
      </c>
    </row>
    <row r="240" spans="1:1" x14ac:dyDescent="0.25">
      <c r="A240" s="3" t="s">
        <v>239</v>
      </c>
    </row>
    <row r="241" spans="1:1" x14ac:dyDescent="0.25">
      <c r="A241" s="3" t="s">
        <v>240</v>
      </c>
    </row>
    <row r="242" spans="1:1" x14ac:dyDescent="0.25">
      <c r="A242" s="3" t="s">
        <v>241</v>
      </c>
    </row>
    <row r="243" spans="1:1" x14ac:dyDescent="0.25">
      <c r="A243" s="3" t="s">
        <v>242</v>
      </c>
    </row>
    <row r="244" spans="1:1" x14ac:dyDescent="0.25">
      <c r="A244" s="3" t="s">
        <v>243</v>
      </c>
    </row>
    <row r="245" spans="1:1" x14ac:dyDescent="0.25">
      <c r="A245" s="3" t="s">
        <v>244</v>
      </c>
    </row>
    <row r="246" spans="1:1" x14ac:dyDescent="0.25">
      <c r="A246" s="3" t="s">
        <v>245</v>
      </c>
    </row>
    <row r="247" spans="1:1" x14ac:dyDescent="0.25">
      <c r="A247" s="3" t="s">
        <v>246</v>
      </c>
    </row>
    <row r="248" spans="1:1" x14ac:dyDescent="0.25">
      <c r="A248" s="3" t="s">
        <v>247</v>
      </c>
    </row>
    <row r="249" spans="1:1" x14ac:dyDescent="0.25">
      <c r="A249" s="3" t="s">
        <v>248</v>
      </c>
    </row>
    <row r="250" spans="1:1" x14ac:dyDescent="0.25">
      <c r="A250" s="3" t="s">
        <v>249</v>
      </c>
    </row>
    <row r="251" spans="1:1" x14ac:dyDescent="0.25">
      <c r="A251" s="3" t="s">
        <v>250</v>
      </c>
    </row>
    <row r="252" spans="1:1" x14ac:dyDescent="0.25">
      <c r="A252" s="3" t="s">
        <v>251</v>
      </c>
    </row>
    <row r="253" spans="1:1" x14ac:dyDescent="0.25">
      <c r="A253" s="3" t="s">
        <v>252</v>
      </c>
    </row>
    <row r="254" spans="1:1" x14ac:dyDescent="0.25">
      <c r="A254" s="3" t="s">
        <v>253</v>
      </c>
    </row>
    <row r="255" spans="1:1" x14ac:dyDescent="0.25">
      <c r="A255" s="3" t="s">
        <v>254</v>
      </c>
    </row>
    <row r="256" spans="1:1" x14ac:dyDescent="0.25">
      <c r="A256" s="3" t="s">
        <v>255</v>
      </c>
    </row>
    <row r="257" spans="1:1" x14ac:dyDescent="0.25">
      <c r="A257" s="3" t="s">
        <v>256</v>
      </c>
    </row>
    <row r="258" spans="1:1" x14ac:dyDescent="0.25">
      <c r="A258" s="3" t="s">
        <v>257</v>
      </c>
    </row>
    <row r="259" spans="1:1" x14ac:dyDescent="0.25">
      <c r="A259" s="3" t="s">
        <v>258</v>
      </c>
    </row>
    <row r="260" spans="1:1" x14ac:dyDescent="0.25">
      <c r="A260" s="3" t="s">
        <v>259</v>
      </c>
    </row>
    <row r="261" spans="1:1" x14ac:dyDescent="0.25">
      <c r="A261" s="3" t="s">
        <v>260</v>
      </c>
    </row>
    <row r="262" spans="1:1" x14ac:dyDescent="0.25">
      <c r="A262" s="3" t="s">
        <v>261</v>
      </c>
    </row>
    <row r="263" spans="1:1" x14ac:dyDescent="0.25">
      <c r="A263" s="3" t="s">
        <v>262</v>
      </c>
    </row>
    <row r="264" spans="1:1" x14ac:dyDescent="0.25">
      <c r="A264" s="3" t="s">
        <v>263</v>
      </c>
    </row>
    <row r="265" spans="1:1" x14ac:dyDescent="0.25">
      <c r="A265" s="3" t="s">
        <v>264</v>
      </c>
    </row>
    <row r="266" spans="1:1" x14ac:dyDescent="0.25">
      <c r="A266" s="3" t="s">
        <v>265</v>
      </c>
    </row>
    <row r="267" spans="1:1" x14ac:dyDescent="0.25">
      <c r="A267" s="3" t="s">
        <v>266</v>
      </c>
    </row>
    <row r="268" spans="1:1" x14ac:dyDescent="0.25">
      <c r="A268" s="3" t="s">
        <v>267</v>
      </c>
    </row>
    <row r="269" spans="1:1" x14ac:dyDescent="0.25">
      <c r="A269" s="3" t="s">
        <v>268</v>
      </c>
    </row>
    <row r="270" spans="1:1" x14ac:dyDescent="0.25">
      <c r="A270" s="3" t="s">
        <v>269</v>
      </c>
    </row>
    <row r="271" spans="1:1" x14ac:dyDescent="0.25">
      <c r="A271" s="3" t="s">
        <v>270</v>
      </c>
    </row>
    <row r="272" spans="1:1" x14ac:dyDescent="0.25">
      <c r="A272" s="3" t="s">
        <v>271</v>
      </c>
    </row>
    <row r="273" spans="1:1" x14ac:dyDescent="0.25">
      <c r="A273" s="3" t="s">
        <v>272</v>
      </c>
    </row>
    <row r="274" spans="1:1" x14ac:dyDescent="0.25">
      <c r="A274" s="3" t="s">
        <v>273</v>
      </c>
    </row>
    <row r="275" spans="1:1" x14ac:dyDescent="0.25">
      <c r="A275" s="3" t="s">
        <v>274</v>
      </c>
    </row>
    <row r="276" spans="1:1" x14ac:dyDescent="0.25">
      <c r="A276" s="3" t="s">
        <v>275</v>
      </c>
    </row>
    <row r="277" spans="1:1" x14ac:dyDescent="0.25">
      <c r="A277" s="3" t="s">
        <v>276</v>
      </c>
    </row>
    <row r="278" spans="1:1" x14ac:dyDescent="0.25">
      <c r="A278" s="3" t="s">
        <v>277</v>
      </c>
    </row>
    <row r="279" spans="1:1" x14ac:dyDescent="0.25">
      <c r="A279" s="3" t="s">
        <v>278</v>
      </c>
    </row>
    <row r="280" spans="1:1" x14ac:dyDescent="0.25">
      <c r="A280" s="3" t="s">
        <v>279</v>
      </c>
    </row>
    <row r="281" spans="1:1" x14ac:dyDescent="0.25">
      <c r="A281" s="3" t="s">
        <v>280</v>
      </c>
    </row>
    <row r="282" spans="1:1" x14ac:dyDescent="0.25">
      <c r="A282" s="3" t="s">
        <v>281</v>
      </c>
    </row>
    <row r="283" spans="1:1" x14ac:dyDescent="0.25">
      <c r="A283" s="3" t="s">
        <v>282</v>
      </c>
    </row>
    <row r="284" spans="1:1" x14ac:dyDescent="0.25">
      <c r="A284" s="3" t="s">
        <v>283</v>
      </c>
    </row>
    <row r="285" spans="1:1" x14ac:dyDescent="0.25">
      <c r="A285" s="3" t="s">
        <v>284</v>
      </c>
    </row>
    <row r="286" spans="1:1" x14ac:dyDescent="0.25">
      <c r="A286" s="3" t="s">
        <v>285</v>
      </c>
    </row>
    <row r="287" spans="1:1" x14ac:dyDescent="0.25">
      <c r="A287" s="3" t="s">
        <v>286</v>
      </c>
    </row>
    <row r="288" spans="1:1" x14ac:dyDescent="0.25">
      <c r="A288" s="3" t="s">
        <v>287</v>
      </c>
    </row>
    <row r="289" spans="1:1" x14ac:dyDescent="0.25">
      <c r="A289" s="3" t="s">
        <v>288</v>
      </c>
    </row>
    <row r="290" spans="1:1" x14ac:dyDescent="0.25">
      <c r="A290" s="3" t="s">
        <v>289</v>
      </c>
    </row>
    <row r="291" spans="1:1" x14ac:dyDescent="0.25">
      <c r="A291" s="3" t="s">
        <v>290</v>
      </c>
    </row>
    <row r="292" spans="1:1" x14ac:dyDescent="0.25">
      <c r="A292" s="3" t="s">
        <v>291</v>
      </c>
    </row>
    <row r="293" spans="1:1" x14ac:dyDescent="0.25">
      <c r="A293" s="3" t="s">
        <v>292</v>
      </c>
    </row>
    <row r="294" spans="1:1" x14ac:dyDescent="0.25">
      <c r="A294" s="3" t="s">
        <v>293</v>
      </c>
    </row>
    <row r="295" spans="1:1" x14ac:dyDescent="0.25">
      <c r="A295" s="3" t="s">
        <v>294</v>
      </c>
    </row>
    <row r="296" spans="1:1" x14ac:dyDescent="0.25">
      <c r="A296" s="3" t="s">
        <v>295</v>
      </c>
    </row>
    <row r="297" spans="1:1" x14ac:dyDescent="0.25">
      <c r="A297" s="3" t="s">
        <v>296</v>
      </c>
    </row>
    <row r="298" spans="1:1" x14ac:dyDescent="0.25">
      <c r="A298" s="3" t="s">
        <v>297</v>
      </c>
    </row>
    <row r="299" spans="1:1" x14ac:dyDescent="0.25">
      <c r="A299" s="3" t="s">
        <v>298</v>
      </c>
    </row>
    <row r="300" spans="1:1" x14ac:dyDescent="0.25">
      <c r="A300" s="3" t="s">
        <v>299</v>
      </c>
    </row>
    <row r="301" spans="1:1" x14ac:dyDescent="0.25">
      <c r="A301" s="3" t="s">
        <v>300</v>
      </c>
    </row>
    <row r="302" spans="1:1" x14ac:dyDescent="0.25">
      <c r="A302" s="3" t="s">
        <v>301</v>
      </c>
    </row>
    <row r="303" spans="1:1" x14ac:dyDescent="0.25">
      <c r="A303" s="3" t="s">
        <v>302</v>
      </c>
    </row>
    <row r="304" spans="1:1" x14ac:dyDescent="0.25">
      <c r="A304" s="3" t="s">
        <v>303</v>
      </c>
    </row>
    <row r="305" spans="1:1" x14ac:dyDescent="0.25">
      <c r="A305" s="3" t="s">
        <v>304</v>
      </c>
    </row>
    <row r="306" spans="1:1" x14ac:dyDescent="0.25">
      <c r="A306" s="3" t="s">
        <v>305</v>
      </c>
    </row>
    <row r="307" spans="1:1" x14ac:dyDescent="0.25">
      <c r="A307" s="3" t="s">
        <v>306</v>
      </c>
    </row>
    <row r="308" spans="1:1" x14ac:dyDescent="0.25">
      <c r="A308" s="3" t="s">
        <v>307</v>
      </c>
    </row>
    <row r="309" spans="1:1" x14ac:dyDescent="0.25">
      <c r="A309" s="3" t="s">
        <v>308</v>
      </c>
    </row>
    <row r="310" spans="1:1" x14ac:dyDescent="0.25">
      <c r="A310" s="3" t="s">
        <v>309</v>
      </c>
    </row>
    <row r="311" spans="1:1" x14ac:dyDescent="0.25">
      <c r="A311" s="3" t="s">
        <v>310</v>
      </c>
    </row>
    <row r="312" spans="1:1" x14ac:dyDescent="0.25">
      <c r="A312" s="3" t="s">
        <v>311</v>
      </c>
    </row>
    <row r="313" spans="1:1" x14ac:dyDescent="0.25">
      <c r="A313" s="3" t="s">
        <v>312</v>
      </c>
    </row>
    <row r="314" spans="1:1" x14ac:dyDescent="0.25">
      <c r="A314" s="3" t="s">
        <v>313</v>
      </c>
    </row>
    <row r="315" spans="1:1" x14ac:dyDescent="0.25">
      <c r="A315" s="3" t="s">
        <v>314</v>
      </c>
    </row>
    <row r="316" spans="1:1" x14ac:dyDescent="0.25">
      <c r="A316" s="3" t="s">
        <v>315</v>
      </c>
    </row>
    <row r="317" spans="1:1" x14ac:dyDescent="0.25">
      <c r="A317" s="3" t="s">
        <v>316</v>
      </c>
    </row>
    <row r="318" spans="1:1" x14ac:dyDescent="0.25">
      <c r="A318" s="3" t="s">
        <v>317</v>
      </c>
    </row>
    <row r="319" spans="1:1" x14ac:dyDescent="0.25">
      <c r="A319" s="3" t="s">
        <v>318</v>
      </c>
    </row>
    <row r="320" spans="1:1" x14ac:dyDescent="0.25">
      <c r="A320" s="3" t="s">
        <v>319</v>
      </c>
    </row>
    <row r="321" spans="1:1" x14ac:dyDescent="0.25">
      <c r="A321" s="3" t="s">
        <v>320</v>
      </c>
    </row>
    <row r="322" spans="1:1" x14ac:dyDescent="0.25">
      <c r="A322" s="3" t="s">
        <v>321</v>
      </c>
    </row>
    <row r="323" spans="1:1" x14ac:dyDescent="0.25">
      <c r="A323" s="3" t="s">
        <v>322</v>
      </c>
    </row>
    <row r="324" spans="1:1" x14ac:dyDescent="0.25">
      <c r="A324" s="3" t="s">
        <v>323</v>
      </c>
    </row>
    <row r="325" spans="1:1" x14ac:dyDescent="0.25">
      <c r="A325" s="3" t="s">
        <v>324</v>
      </c>
    </row>
    <row r="326" spans="1:1" x14ac:dyDescent="0.25">
      <c r="A326" s="3" t="s">
        <v>325</v>
      </c>
    </row>
    <row r="327" spans="1:1" x14ac:dyDescent="0.25">
      <c r="A327" s="3" t="s">
        <v>326</v>
      </c>
    </row>
    <row r="328" spans="1:1" x14ac:dyDescent="0.25">
      <c r="A328" s="3" t="s">
        <v>327</v>
      </c>
    </row>
    <row r="329" spans="1:1" x14ac:dyDescent="0.25">
      <c r="A329" s="3" t="s">
        <v>328</v>
      </c>
    </row>
    <row r="330" spans="1:1" x14ac:dyDescent="0.25">
      <c r="A330" s="3" t="s">
        <v>329</v>
      </c>
    </row>
    <row r="331" spans="1:1" x14ac:dyDescent="0.25">
      <c r="A331" s="3" t="s">
        <v>330</v>
      </c>
    </row>
    <row r="332" spans="1:1" x14ac:dyDescent="0.25">
      <c r="A332" s="3" t="s">
        <v>331</v>
      </c>
    </row>
    <row r="333" spans="1:1" x14ac:dyDescent="0.25">
      <c r="A333" s="3" t="s">
        <v>332</v>
      </c>
    </row>
    <row r="334" spans="1:1" x14ac:dyDescent="0.25">
      <c r="A334" s="3" t="s">
        <v>333</v>
      </c>
    </row>
    <row r="335" spans="1:1" x14ac:dyDescent="0.25">
      <c r="A335" s="3" t="s">
        <v>334</v>
      </c>
    </row>
    <row r="336" spans="1:1" x14ac:dyDescent="0.25">
      <c r="A336" s="3" t="s">
        <v>335</v>
      </c>
    </row>
    <row r="337" spans="1:1" x14ac:dyDescent="0.25">
      <c r="A337" s="3" t="s">
        <v>336</v>
      </c>
    </row>
    <row r="338" spans="1:1" x14ac:dyDescent="0.25">
      <c r="A338" s="3" t="s">
        <v>337</v>
      </c>
    </row>
    <row r="339" spans="1:1" x14ac:dyDescent="0.25">
      <c r="A339" s="3" t="s">
        <v>338</v>
      </c>
    </row>
    <row r="340" spans="1:1" x14ac:dyDescent="0.25">
      <c r="A340" s="3" t="s">
        <v>339</v>
      </c>
    </row>
    <row r="341" spans="1:1" x14ac:dyDescent="0.25">
      <c r="A341" s="3" t="s">
        <v>340</v>
      </c>
    </row>
    <row r="342" spans="1:1" x14ac:dyDescent="0.25">
      <c r="A342" s="3" t="s">
        <v>341</v>
      </c>
    </row>
    <row r="343" spans="1:1" x14ac:dyDescent="0.25">
      <c r="A343" s="3" t="s">
        <v>342</v>
      </c>
    </row>
    <row r="344" spans="1:1" x14ac:dyDescent="0.25">
      <c r="A344" s="3" t="s">
        <v>343</v>
      </c>
    </row>
    <row r="345" spans="1:1" x14ac:dyDescent="0.25">
      <c r="A345" s="3" t="s">
        <v>344</v>
      </c>
    </row>
    <row r="346" spans="1:1" x14ac:dyDescent="0.25">
      <c r="A346" s="3" t="s">
        <v>345</v>
      </c>
    </row>
    <row r="347" spans="1:1" x14ac:dyDescent="0.25">
      <c r="A347" s="3" t="s">
        <v>346</v>
      </c>
    </row>
    <row r="348" spans="1:1" x14ac:dyDescent="0.25">
      <c r="A348" s="3" t="s">
        <v>347</v>
      </c>
    </row>
    <row r="349" spans="1:1" x14ac:dyDescent="0.25">
      <c r="A349" s="3" t="s">
        <v>348</v>
      </c>
    </row>
    <row r="350" spans="1:1" x14ac:dyDescent="0.25">
      <c r="A350" s="3" t="s">
        <v>349</v>
      </c>
    </row>
    <row r="351" spans="1:1" x14ac:dyDescent="0.25">
      <c r="A351" s="3" t="s">
        <v>350</v>
      </c>
    </row>
    <row r="352" spans="1:1" x14ac:dyDescent="0.25">
      <c r="A352" s="3" t="s">
        <v>351</v>
      </c>
    </row>
    <row r="353" spans="1:1" x14ac:dyDescent="0.25">
      <c r="A353" s="3" t="s">
        <v>352</v>
      </c>
    </row>
    <row r="354" spans="1:1" x14ac:dyDescent="0.25">
      <c r="A354" s="3" t="s">
        <v>353</v>
      </c>
    </row>
    <row r="355" spans="1:1" x14ac:dyDescent="0.25">
      <c r="A355" s="3" t="s">
        <v>354</v>
      </c>
    </row>
    <row r="356" spans="1:1" x14ac:dyDescent="0.25">
      <c r="A356" s="3" t="s">
        <v>355</v>
      </c>
    </row>
    <row r="357" spans="1:1" x14ac:dyDescent="0.25">
      <c r="A357" s="3" t="s">
        <v>356</v>
      </c>
    </row>
    <row r="358" spans="1:1" x14ac:dyDescent="0.25">
      <c r="A358" s="3" t="s">
        <v>357</v>
      </c>
    </row>
    <row r="359" spans="1:1" x14ac:dyDescent="0.25">
      <c r="A359" s="3" t="s">
        <v>358</v>
      </c>
    </row>
    <row r="360" spans="1:1" x14ac:dyDescent="0.25">
      <c r="A360" s="3" t="s">
        <v>359</v>
      </c>
    </row>
    <row r="361" spans="1:1" x14ac:dyDescent="0.25">
      <c r="A361" s="3" t="s">
        <v>360</v>
      </c>
    </row>
    <row r="362" spans="1:1" x14ac:dyDescent="0.25">
      <c r="A362" s="3" t="s">
        <v>361</v>
      </c>
    </row>
    <row r="363" spans="1:1" x14ac:dyDescent="0.25">
      <c r="A363" s="3" t="s">
        <v>362</v>
      </c>
    </row>
    <row r="364" spans="1:1" x14ac:dyDescent="0.25">
      <c r="A364" s="3" t="s">
        <v>363</v>
      </c>
    </row>
    <row r="365" spans="1:1" x14ac:dyDescent="0.25">
      <c r="A365" s="3" t="s">
        <v>364</v>
      </c>
    </row>
    <row r="366" spans="1:1" x14ac:dyDescent="0.25">
      <c r="A366" s="3" t="s">
        <v>365</v>
      </c>
    </row>
    <row r="367" spans="1:1" x14ac:dyDescent="0.25">
      <c r="A367" s="3" t="s">
        <v>366</v>
      </c>
    </row>
    <row r="368" spans="1:1" x14ac:dyDescent="0.25">
      <c r="A368" s="3" t="s">
        <v>367</v>
      </c>
    </row>
    <row r="369" spans="1:1" x14ac:dyDescent="0.25">
      <c r="A369" s="3" t="s">
        <v>368</v>
      </c>
    </row>
    <row r="370" spans="1:1" x14ac:dyDescent="0.25">
      <c r="A370" s="3" t="s">
        <v>369</v>
      </c>
    </row>
    <row r="371" spans="1:1" x14ac:dyDescent="0.25">
      <c r="A371" s="3" t="s">
        <v>370</v>
      </c>
    </row>
    <row r="372" spans="1:1" x14ac:dyDescent="0.25">
      <c r="A372" s="3" t="s">
        <v>371</v>
      </c>
    </row>
    <row r="373" spans="1:1" x14ac:dyDescent="0.25">
      <c r="A373" s="3" t="s">
        <v>372</v>
      </c>
    </row>
    <row r="374" spans="1:1" x14ac:dyDescent="0.25">
      <c r="A374" s="3" t="s">
        <v>373</v>
      </c>
    </row>
    <row r="375" spans="1:1" x14ac:dyDescent="0.25">
      <c r="A375" s="3" t="s">
        <v>374</v>
      </c>
    </row>
    <row r="376" spans="1:1" x14ac:dyDescent="0.25">
      <c r="A376" s="3" t="s">
        <v>375</v>
      </c>
    </row>
    <row r="377" spans="1:1" x14ac:dyDescent="0.25">
      <c r="A377" s="3" t="s">
        <v>376</v>
      </c>
    </row>
    <row r="378" spans="1:1" x14ac:dyDescent="0.25">
      <c r="A378" s="3" t="s">
        <v>377</v>
      </c>
    </row>
    <row r="379" spans="1:1" x14ac:dyDescent="0.25">
      <c r="A379" s="3" t="s">
        <v>378</v>
      </c>
    </row>
    <row r="380" spans="1:1" x14ac:dyDescent="0.25">
      <c r="A380" s="3" t="s">
        <v>379</v>
      </c>
    </row>
    <row r="381" spans="1:1" x14ac:dyDescent="0.25">
      <c r="A381" s="3" t="s">
        <v>380</v>
      </c>
    </row>
    <row r="382" spans="1:1" x14ac:dyDescent="0.25">
      <c r="A382" s="3" t="s">
        <v>381</v>
      </c>
    </row>
    <row r="383" spans="1:1" x14ac:dyDescent="0.25">
      <c r="A383" s="3" t="s">
        <v>382</v>
      </c>
    </row>
    <row r="384" spans="1:1" x14ac:dyDescent="0.25">
      <c r="A384" s="3" t="s">
        <v>383</v>
      </c>
    </row>
    <row r="385" spans="1:1" x14ac:dyDescent="0.25">
      <c r="A385" s="3" t="s">
        <v>384</v>
      </c>
    </row>
    <row r="386" spans="1:1" x14ac:dyDescent="0.25">
      <c r="A386" s="3" t="s">
        <v>385</v>
      </c>
    </row>
    <row r="387" spans="1:1" x14ac:dyDescent="0.25">
      <c r="A387" s="3" t="s">
        <v>386</v>
      </c>
    </row>
    <row r="388" spans="1:1" x14ac:dyDescent="0.25">
      <c r="A388" s="3" t="s">
        <v>387</v>
      </c>
    </row>
    <row r="389" spans="1:1" x14ac:dyDescent="0.25">
      <c r="A389" s="3" t="s">
        <v>388</v>
      </c>
    </row>
    <row r="390" spans="1:1" x14ac:dyDescent="0.25">
      <c r="A390" s="3" t="s">
        <v>389</v>
      </c>
    </row>
    <row r="391" spans="1:1" x14ac:dyDescent="0.25">
      <c r="A391" s="3" t="s">
        <v>390</v>
      </c>
    </row>
    <row r="392" spans="1:1" x14ac:dyDescent="0.25">
      <c r="A392" s="3" t="s">
        <v>391</v>
      </c>
    </row>
    <row r="393" spans="1:1" x14ac:dyDescent="0.25">
      <c r="A393" s="3" t="s">
        <v>392</v>
      </c>
    </row>
    <row r="394" spans="1:1" x14ac:dyDescent="0.25">
      <c r="A394" s="3" t="s">
        <v>393</v>
      </c>
    </row>
    <row r="395" spans="1:1" x14ac:dyDescent="0.25">
      <c r="A395" s="3" t="s">
        <v>394</v>
      </c>
    </row>
    <row r="396" spans="1:1" x14ac:dyDescent="0.25">
      <c r="A396" s="3" t="s">
        <v>395</v>
      </c>
    </row>
    <row r="397" spans="1:1" x14ac:dyDescent="0.25">
      <c r="A397" s="3" t="s">
        <v>396</v>
      </c>
    </row>
    <row r="398" spans="1:1" x14ac:dyDescent="0.25">
      <c r="A398" s="3" t="s">
        <v>397</v>
      </c>
    </row>
    <row r="399" spans="1:1" x14ac:dyDescent="0.25">
      <c r="A399" s="3" t="s">
        <v>398</v>
      </c>
    </row>
    <row r="400" spans="1:1" x14ac:dyDescent="0.25">
      <c r="A400" s="3" t="s">
        <v>399</v>
      </c>
    </row>
    <row r="401" spans="1:1" x14ac:dyDescent="0.25">
      <c r="A401" s="3" t="s">
        <v>400</v>
      </c>
    </row>
  </sheetData>
  <autoFilter ref="A1:K40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B1:N21"/>
  <sheetViews>
    <sheetView defaultGridColor="0" colorId="9" zoomScale="75" zoomScaleNormal="75" workbookViewId="0">
      <selection activeCell="B2" sqref="B2"/>
    </sheetView>
  </sheetViews>
  <sheetFormatPr baseColWidth="10" defaultRowHeight="15" x14ac:dyDescent="0.25"/>
  <cols>
    <col min="1" max="1" width="4.7109375" customWidth="1"/>
    <col min="2" max="2" width="19.42578125" customWidth="1"/>
    <col min="3" max="3" width="19" customWidth="1"/>
    <col min="4" max="4" width="13.7109375" customWidth="1"/>
    <col min="5" max="5" width="6.5703125" customWidth="1"/>
    <col min="6" max="6" width="14.5703125" bestFit="1" customWidth="1"/>
    <col min="7" max="7" width="12.7109375" customWidth="1"/>
    <col min="8" max="8" width="14.5703125" bestFit="1" customWidth="1"/>
    <col min="9" max="9" width="14.28515625" bestFit="1" customWidth="1"/>
    <col min="10" max="10" width="4.42578125" customWidth="1"/>
    <col min="11" max="11" width="1.85546875" customWidth="1"/>
    <col min="12" max="12" width="19" customWidth="1"/>
    <col min="13" max="13" width="13.28515625" customWidth="1"/>
    <col min="14" max="14" width="5.7109375" customWidth="1"/>
    <col min="15" max="15" width="8.42578125" customWidth="1"/>
    <col min="16" max="16" width="12.5703125" bestFit="1" customWidth="1"/>
  </cols>
  <sheetData>
    <row r="1" spans="2:14" x14ac:dyDescent="0.25">
      <c r="B1" s="12"/>
      <c r="C1" s="12"/>
    </row>
    <row r="2" spans="2:14" x14ac:dyDescent="0.25">
      <c r="B2" s="13" t="s">
        <v>441</v>
      </c>
      <c r="C2" t="s">
        <v>424</v>
      </c>
      <c r="D2" s="17" t="s">
        <v>425</v>
      </c>
    </row>
    <row r="3" spans="2:14" x14ac:dyDescent="0.25">
      <c r="B3" s="14" t="s">
        <v>408</v>
      </c>
      <c r="C3" s="15">
        <v>62</v>
      </c>
      <c r="D3" s="16">
        <v>1</v>
      </c>
      <c r="L3" s="13" t="s">
        <v>424</v>
      </c>
    </row>
    <row r="4" spans="2:14" x14ac:dyDescent="0.25">
      <c r="B4" s="14" t="s">
        <v>423</v>
      </c>
      <c r="C4" s="15">
        <v>62</v>
      </c>
      <c r="D4" s="18"/>
      <c r="L4" s="13" t="s">
        <v>429</v>
      </c>
      <c r="M4" s="13" t="s">
        <v>434</v>
      </c>
      <c r="N4" t="s">
        <v>453</v>
      </c>
    </row>
    <row r="5" spans="2:14" x14ac:dyDescent="0.25">
      <c r="D5" s="16"/>
      <c r="L5" t="s">
        <v>432</v>
      </c>
      <c r="M5" t="s">
        <v>438</v>
      </c>
      <c r="N5" s="15">
        <v>1</v>
      </c>
    </row>
    <row r="6" spans="2:14" x14ac:dyDescent="0.25">
      <c r="L6" t="s">
        <v>431</v>
      </c>
      <c r="M6" t="s">
        <v>438</v>
      </c>
      <c r="N6" s="15">
        <v>6</v>
      </c>
    </row>
    <row r="7" spans="2:14" x14ac:dyDescent="0.25">
      <c r="M7" t="s">
        <v>440</v>
      </c>
      <c r="N7" s="15">
        <v>2</v>
      </c>
    </row>
    <row r="8" spans="2:14" x14ac:dyDescent="0.25">
      <c r="L8" t="s">
        <v>423</v>
      </c>
      <c r="N8" s="15">
        <v>9</v>
      </c>
    </row>
    <row r="9" spans="2:14" ht="17.25" customHeight="1" x14ac:dyDescent="0.25"/>
    <row r="10" spans="2:14" x14ac:dyDescent="0.25">
      <c r="C10" s="20" t="s">
        <v>427</v>
      </c>
      <c r="D10" s="21">
        <v>1</v>
      </c>
    </row>
    <row r="12" spans="2:14" x14ac:dyDescent="0.25">
      <c r="B12" s="13" t="s">
        <v>424</v>
      </c>
      <c r="C12" s="13" t="s">
        <v>441</v>
      </c>
      <c r="D12" s="22"/>
    </row>
    <row r="13" spans="2:14" x14ac:dyDescent="0.25">
      <c r="B13" s="13" t="s">
        <v>442</v>
      </c>
      <c r="C13" t="s">
        <v>408</v>
      </c>
      <c r="D13" s="17" t="s">
        <v>428</v>
      </c>
    </row>
    <row r="14" spans="2:14" x14ac:dyDescent="0.25">
      <c r="B14" s="14" t="s">
        <v>443</v>
      </c>
      <c r="C14" s="15">
        <v>3</v>
      </c>
      <c r="D14" t="s">
        <v>408</v>
      </c>
    </row>
    <row r="15" spans="2:14" x14ac:dyDescent="0.25">
      <c r="B15" s="14" t="s">
        <v>444</v>
      </c>
      <c r="C15" s="15">
        <v>4</v>
      </c>
      <c r="D15" t="s">
        <v>408</v>
      </c>
    </row>
    <row r="16" spans="2:14" x14ac:dyDescent="0.25">
      <c r="B16" s="14" t="s">
        <v>445</v>
      </c>
      <c r="C16" s="15">
        <v>4</v>
      </c>
      <c r="D16" t="s">
        <v>408</v>
      </c>
    </row>
    <row r="17" spans="2:4" x14ac:dyDescent="0.25">
      <c r="B17" s="14" t="s">
        <v>446</v>
      </c>
      <c r="C17" s="15">
        <v>15</v>
      </c>
      <c r="D17" t="s">
        <v>408</v>
      </c>
    </row>
    <row r="18" spans="2:4" x14ac:dyDescent="0.25">
      <c r="B18" s="14" t="s">
        <v>447</v>
      </c>
      <c r="C18" s="15">
        <v>26</v>
      </c>
      <c r="D18" t="s">
        <v>408</v>
      </c>
    </row>
    <row r="19" spans="2:4" x14ac:dyDescent="0.25">
      <c r="B19" s="14" t="s">
        <v>448</v>
      </c>
      <c r="C19" s="15">
        <v>3</v>
      </c>
      <c r="D19" t="s">
        <v>408</v>
      </c>
    </row>
    <row r="20" spans="2:4" x14ac:dyDescent="0.25">
      <c r="B20" s="14" t="s">
        <v>449</v>
      </c>
      <c r="C20" s="15">
        <v>1</v>
      </c>
      <c r="D20" t="s">
        <v>408</v>
      </c>
    </row>
    <row r="21" spans="2:4" x14ac:dyDescent="0.25">
      <c r="B21" s="14" t="s">
        <v>423</v>
      </c>
      <c r="C21" s="15">
        <v>56</v>
      </c>
      <c r="D21" s="18"/>
    </row>
  </sheetData>
  <conditionalFormatting sqref="I22:I50 D14:D20">
    <cfRule type="cellIs" dxfId="6" priority="1" operator="equal">
      <formula>"Failed"</formula>
    </cfRule>
    <cfRule type="cellIs" dxfId="5" priority="2" operator="equal">
      <formula>"Passed"</formula>
    </cfRule>
  </conditionalFormatting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22</vt:i4>
      </vt:variant>
    </vt:vector>
  </HeadingPairs>
  <TitlesOfParts>
    <vt:vector size="25" baseType="lpstr">
      <vt:lpstr>CDT</vt:lpstr>
      <vt:lpstr>listeVal</vt:lpstr>
      <vt:lpstr>Statistiques</vt:lpstr>
      <vt:lpstr>CommentaireAno</vt:lpstr>
      <vt:lpstr>DescriptionCasDeTest</vt:lpstr>
      <vt:lpstr>ENV</vt:lpstr>
      <vt:lpstr>ETAPE</vt:lpstr>
      <vt:lpstr>ETAPES</vt:lpstr>
      <vt:lpstr>Gravité1</vt:lpstr>
      <vt:lpstr>GravitéAnomalie</vt:lpstr>
      <vt:lpstr>JeuDeDonnée</vt:lpstr>
      <vt:lpstr>NumAnomalie</vt:lpstr>
      <vt:lpstr>CDT!NumCdt</vt:lpstr>
      <vt:lpstr>NumCdt</vt:lpstr>
      <vt:lpstr>periode</vt:lpstr>
      <vt:lpstr>Période</vt:lpstr>
      <vt:lpstr>Prérequis__Etape</vt:lpstr>
      <vt:lpstr>ProfilUtilisateur</vt:lpstr>
      <vt:lpstr>RésultatAttendu</vt:lpstr>
      <vt:lpstr>RésultatObtenu</vt:lpstr>
      <vt:lpstr>CDT!Statut</vt:lpstr>
      <vt:lpstr>Statut1</vt:lpstr>
      <vt:lpstr>CDT!StatutAno</vt:lpstr>
      <vt:lpstr>statutano1</vt:lpstr>
      <vt:lpstr>StatutCdt</vt:lpstr>
    </vt:vector>
  </TitlesOfParts>
  <Company>SOCIETE GENERALE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CAILLOT (x128160)</dc:creator>
  <cp:lastModifiedBy>GUEYE Malick</cp:lastModifiedBy>
  <dcterms:created xsi:type="dcterms:W3CDTF">2015-07-08T13:36:50Z</dcterms:created>
  <dcterms:modified xsi:type="dcterms:W3CDTF">2018-09-06T17:57:46Z</dcterms:modified>
</cp:coreProperties>
</file>